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Inventory\"/>
    </mc:Choice>
  </mc:AlternateContent>
  <bookViews>
    <workbookView xWindow="0" yWindow="0" windowWidth="28800" windowHeight="12180"/>
  </bookViews>
  <sheets>
    <sheet name="MDF Inventory" sheetId="1" r:id="rId1"/>
    <sheet name="STORE Inventory" sheetId="7" r:id="rId2"/>
    <sheet name="Assets" sheetId="9" r:id="rId3"/>
  </sheets>
  <definedNames>
    <definedName name="_xlnm._FilterDatabase" localSheetId="2" hidden="1">Assets!$A$3:$D$26</definedName>
  </definedNames>
  <calcPr calcId="162913"/>
</workbook>
</file>

<file path=xl/calcChain.xml><?xml version="1.0" encoding="utf-8"?>
<calcChain xmlns="http://schemas.openxmlformats.org/spreadsheetml/2006/main">
  <c r="M173" i="7" l="1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64" i="7" l="1"/>
  <c r="K164" i="7" s="1"/>
  <c r="I165" i="7"/>
  <c r="K165" i="7" s="1"/>
  <c r="I166" i="7"/>
  <c r="K166" i="7" s="1"/>
  <c r="I167" i="7"/>
  <c r="K167" i="7" s="1"/>
  <c r="I168" i="7"/>
  <c r="K168" i="7" s="1"/>
  <c r="I169" i="7"/>
  <c r="M169" i="7" s="1"/>
  <c r="I170" i="7"/>
  <c r="K170" i="7" s="1"/>
  <c r="I171" i="7"/>
  <c r="K171" i="7" s="1"/>
  <c r="I172" i="7"/>
  <c r="K172" i="7" s="1"/>
  <c r="I159" i="7"/>
  <c r="M159" i="7" s="1"/>
  <c r="I160" i="7"/>
  <c r="M160" i="7" s="1"/>
  <c r="I161" i="7"/>
  <c r="M161" i="7" s="1"/>
  <c r="I162" i="7"/>
  <c r="M162" i="7" s="1"/>
  <c r="I163" i="7"/>
  <c r="M163" i="7" s="1"/>
  <c r="I156" i="7"/>
  <c r="M156" i="7" s="1"/>
  <c r="I157" i="7"/>
  <c r="M157" i="7" s="1"/>
  <c r="I158" i="7"/>
  <c r="M158" i="7" s="1"/>
  <c r="I152" i="7"/>
  <c r="M152" i="7" s="1"/>
  <c r="I153" i="7"/>
  <c r="M153" i="7" s="1"/>
  <c r="I154" i="7"/>
  <c r="M154" i="7" s="1"/>
  <c r="I155" i="7"/>
  <c r="M155" i="7" s="1"/>
  <c r="N130" i="7"/>
  <c r="I2" i="7"/>
  <c r="K2" i="7" s="1"/>
  <c r="N2" i="7"/>
  <c r="I3" i="7"/>
  <c r="K3" i="7" s="1"/>
  <c r="N3" i="7"/>
  <c r="I4" i="7"/>
  <c r="K4" i="7" s="1"/>
  <c r="N4" i="7"/>
  <c r="I5" i="7"/>
  <c r="K5" i="7" s="1"/>
  <c r="N5" i="7"/>
  <c r="I6" i="7"/>
  <c r="K6" i="7" s="1"/>
  <c r="N6" i="7"/>
  <c r="I7" i="7"/>
  <c r="K7" i="7"/>
  <c r="M7" i="7"/>
  <c r="N7" i="7"/>
  <c r="I8" i="7"/>
  <c r="M8" i="7" s="1"/>
  <c r="K8" i="7"/>
  <c r="N8" i="7"/>
  <c r="I9" i="7"/>
  <c r="M9" i="7" s="1"/>
  <c r="N9" i="7"/>
  <c r="I10" i="7"/>
  <c r="K10" i="7" s="1"/>
  <c r="N10" i="7"/>
  <c r="I11" i="7"/>
  <c r="K11" i="7" s="1"/>
  <c r="N11" i="7"/>
  <c r="I12" i="7"/>
  <c r="K12" i="7" s="1"/>
  <c r="N12" i="7"/>
  <c r="I13" i="7"/>
  <c r="M13" i="7" s="1"/>
  <c r="N13" i="7"/>
  <c r="I14" i="7"/>
  <c r="K14" i="7" s="1"/>
  <c r="N14" i="7"/>
  <c r="I15" i="7"/>
  <c r="M15" i="7" s="1"/>
  <c r="N15" i="7"/>
  <c r="I16" i="7"/>
  <c r="M16" i="7" s="1"/>
  <c r="N16" i="7"/>
  <c r="I17" i="7"/>
  <c r="K17" i="7" s="1"/>
  <c r="N17" i="7"/>
  <c r="I18" i="7"/>
  <c r="K18" i="7" s="1"/>
  <c r="N18" i="7"/>
  <c r="I19" i="7"/>
  <c r="K19" i="7" s="1"/>
  <c r="N19" i="7"/>
  <c r="I20" i="7"/>
  <c r="K20" i="7" s="1"/>
  <c r="N20" i="7"/>
  <c r="I21" i="7"/>
  <c r="K21" i="7" s="1"/>
  <c r="I22" i="7"/>
  <c r="M22" i="7" s="1"/>
  <c r="K22" i="7"/>
  <c r="N22" i="7"/>
  <c r="I23" i="7"/>
  <c r="K23" i="7" s="1"/>
  <c r="N23" i="7"/>
  <c r="I24" i="7"/>
  <c r="K24" i="7" s="1"/>
  <c r="I25" i="7"/>
  <c r="K25" i="7" s="1"/>
  <c r="N25" i="7"/>
  <c r="I26" i="7"/>
  <c r="M26" i="7" s="1"/>
  <c r="N26" i="7"/>
  <c r="I27" i="7"/>
  <c r="K27" i="7" s="1"/>
  <c r="N27" i="7"/>
  <c r="I28" i="7"/>
  <c r="K28" i="7" s="1"/>
  <c r="N28" i="7"/>
  <c r="I29" i="7"/>
  <c r="K29" i="7" s="1"/>
  <c r="N29" i="7"/>
  <c r="I30" i="7"/>
  <c r="M30" i="7" s="1"/>
  <c r="N30" i="7"/>
  <c r="I31" i="7"/>
  <c r="K31" i="7" s="1"/>
  <c r="N31" i="7"/>
  <c r="I32" i="7"/>
  <c r="K32" i="7" s="1"/>
  <c r="M32" i="7"/>
  <c r="N32" i="7"/>
  <c r="I33" i="7"/>
  <c r="K33" i="7" s="1"/>
  <c r="N33" i="7"/>
  <c r="I34" i="7"/>
  <c r="K34" i="7"/>
  <c r="M34" i="7"/>
  <c r="N34" i="7"/>
  <c r="I35" i="7"/>
  <c r="K35" i="7" s="1"/>
  <c r="N35" i="7"/>
  <c r="I36" i="7"/>
  <c r="K36" i="7" s="1"/>
  <c r="M36" i="7"/>
  <c r="N36" i="7"/>
  <c r="I37" i="7"/>
  <c r="M37" i="7" s="1"/>
  <c r="N37" i="7"/>
  <c r="I38" i="7"/>
  <c r="K38" i="7" s="1"/>
  <c r="N38" i="7"/>
  <c r="I39" i="7"/>
  <c r="K39" i="7" s="1"/>
  <c r="N39" i="7"/>
  <c r="I40" i="7"/>
  <c r="K40" i="7" s="1"/>
  <c r="N40" i="7"/>
  <c r="I41" i="7"/>
  <c r="K41" i="7" s="1"/>
  <c r="N41" i="7"/>
  <c r="I42" i="7"/>
  <c r="K42" i="7" s="1"/>
  <c r="N42" i="7"/>
  <c r="I43" i="7"/>
  <c r="K43" i="7" s="1"/>
  <c r="N43" i="7"/>
  <c r="I44" i="7"/>
  <c r="M44" i="7" s="1"/>
  <c r="N44" i="7"/>
  <c r="I45" i="7"/>
  <c r="K45" i="7" s="1"/>
  <c r="N45" i="7"/>
  <c r="I46" i="7"/>
  <c r="K46" i="7" s="1"/>
  <c r="N46" i="7"/>
  <c r="I47" i="7"/>
  <c r="K47" i="7" s="1"/>
  <c r="N47" i="7"/>
  <c r="I48" i="7"/>
  <c r="M48" i="7" s="1"/>
  <c r="K48" i="7"/>
  <c r="N48" i="7"/>
  <c r="I49" i="7"/>
  <c r="K49" i="7" s="1"/>
  <c r="N49" i="7"/>
  <c r="I50" i="7"/>
  <c r="K50" i="7" s="1"/>
  <c r="N50" i="7"/>
  <c r="I51" i="7"/>
  <c r="M51" i="7" s="1"/>
  <c r="N51" i="7"/>
  <c r="I52" i="7"/>
  <c r="K52" i="7" s="1"/>
  <c r="N52" i="7"/>
  <c r="I53" i="7"/>
  <c r="K53" i="7" s="1"/>
  <c r="M53" i="7"/>
  <c r="N53" i="7"/>
  <c r="I54" i="7"/>
  <c r="K54" i="7" s="1"/>
  <c r="N54" i="7"/>
  <c r="I55" i="7"/>
  <c r="M55" i="7" s="1"/>
  <c r="N55" i="7"/>
  <c r="I56" i="7"/>
  <c r="K56" i="7" s="1"/>
  <c r="N56" i="7"/>
  <c r="I57" i="7"/>
  <c r="K57" i="7" s="1"/>
  <c r="N57" i="7"/>
  <c r="I58" i="7"/>
  <c r="M58" i="7" s="1"/>
  <c r="K58" i="7"/>
  <c r="N58" i="7"/>
  <c r="I59" i="7"/>
  <c r="K59" i="7" s="1"/>
  <c r="N59" i="7"/>
  <c r="I60" i="7"/>
  <c r="K60" i="7" s="1"/>
  <c r="N60" i="7"/>
  <c r="I61" i="7"/>
  <c r="K61" i="7" s="1"/>
  <c r="N61" i="7"/>
  <c r="I62" i="7"/>
  <c r="K62" i="7" s="1"/>
  <c r="N62" i="7"/>
  <c r="I63" i="7"/>
  <c r="K63" i="7" s="1"/>
  <c r="N63" i="7"/>
  <c r="I64" i="7"/>
  <c r="K64" i="7" s="1"/>
  <c r="N64" i="7"/>
  <c r="I65" i="7"/>
  <c r="M65" i="7" s="1"/>
  <c r="N65" i="7"/>
  <c r="I66" i="7"/>
  <c r="K66" i="7" s="1"/>
  <c r="N66" i="7"/>
  <c r="I67" i="7"/>
  <c r="K67" i="7" s="1"/>
  <c r="M67" i="7"/>
  <c r="N67" i="7"/>
  <c r="I68" i="7"/>
  <c r="M68" i="7" s="1"/>
  <c r="N68" i="7"/>
  <c r="I69" i="7"/>
  <c r="K69" i="7" s="1"/>
  <c r="M69" i="7"/>
  <c r="N69" i="7"/>
  <c r="I70" i="7"/>
  <c r="K70" i="7" s="1"/>
  <c r="N70" i="7"/>
  <c r="I71" i="7"/>
  <c r="K71" i="7" s="1"/>
  <c r="N71" i="7"/>
  <c r="I72" i="7"/>
  <c r="M72" i="7" s="1"/>
  <c r="N72" i="7"/>
  <c r="I73" i="7"/>
  <c r="K73" i="7" s="1"/>
  <c r="N73" i="7"/>
  <c r="I74" i="7"/>
  <c r="K74" i="7" s="1"/>
  <c r="N74" i="7"/>
  <c r="I75" i="7"/>
  <c r="K75" i="7" s="1"/>
  <c r="M75" i="7"/>
  <c r="N75" i="7"/>
  <c r="I76" i="7"/>
  <c r="K76" i="7" s="1"/>
  <c r="N76" i="7"/>
  <c r="I77" i="7"/>
  <c r="K77" i="7" s="1"/>
  <c r="N77" i="7"/>
  <c r="I78" i="7"/>
  <c r="M78" i="7" s="1"/>
  <c r="N78" i="7"/>
  <c r="I79" i="7"/>
  <c r="M79" i="7" s="1"/>
  <c r="N79" i="7"/>
  <c r="I80" i="7"/>
  <c r="K80" i="7" s="1"/>
  <c r="N80" i="7"/>
  <c r="I81" i="7"/>
  <c r="K81" i="7" s="1"/>
  <c r="N81" i="7"/>
  <c r="I82" i="7"/>
  <c r="K82" i="7" s="1"/>
  <c r="N82" i="7"/>
  <c r="I83" i="7"/>
  <c r="M83" i="7" s="1"/>
  <c r="N83" i="7"/>
  <c r="I84" i="7"/>
  <c r="K84" i="7" s="1"/>
  <c r="N84" i="7"/>
  <c r="I85" i="7"/>
  <c r="M85" i="7" s="1"/>
  <c r="K85" i="7"/>
  <c r="N85" i="7"/>
  <c r="I86" i="7"/>
  <c r="M86" i="7" s="1"/>
  <c r="K86" i="7"/>
  <c r="N86" i="7"/>
  <c r="I87" i="7"/>
  <c r="K87" i="7" s="1"/>
  <c r="N87" i="7"/>
  <c r="I88" i="7"/>
  <c r="K88" i="7" s="1"/>
  <c r="M88" i="7"/>
  <c r="N88" i="7"/>
  <c r="I89" i="7"/>
  <c r="K89" i="7" s="1"/>
  <c r="M89" i="7"/>
  <c r="N89" i="7"/>
  <c r="I90" i="7"/>
  <c r="M90" i="7" s="1"/>
  <c r="N90" i="7"/>
  <c r="I91" i="7"/>
  <c r="K91" i="7" s="1"/>
  <c r="N91" i="7"/>
  <c r="I92" i="7"/>
  <c r="M92" i="7" s="1"/>
  <c r="N92" i="7"/>
  <c r="I93" i="7"/>
  <c r="M93" i="7" s="1"/>
  <c r="N93" i="7"/>
  <c r="I94" i="7"/>
  <c r="K94" i="7" s="1"/>
  <c r="N94" i="7"/>
  <c r="I95" i="7"/>
  <c r="K95" i="7" s="1"/>
  <c r="N95" i="7"/>
  <c r="I96" i="7"/>
  <c r="K96" i="7"/>
  <c r="M96" i="7"/>
  <c r="N96" i="7"/>
  <c r="I97" i="7"/>
  <c r="K97" i="7" s="1"/>
  <c r="M97" i="7"/>
  <c r="N97" i="7"/>
  <c r="I98" i="7"/>
  <c r="K98" i="7" s="1"/>
  <c r="N98" i="7"/>
  <c r="I99" i="7"/>
  <c r="M99" i="7" s="1"/>
  <c r="N99" i="7"/>
  <c r="I100" i="7"/>
  <c r="M100" i="7" s="1"/>
  <c r="N100" i="7"/>
  <c r="I101" i="7"/>
  <c r="K101" i="7" s="1"/>
  <c r="N101" i="7"/>
  <c r="I102" i="7"/>
  <c r="K102" i="7" s="1"/>
  <c r="M102" i="7"/>
  <c r="N102" i="7"/>
  <c r="I103" i="7"/>
  <c r="M103" i="7" s="1"/>
  <c r="K103" i="7"/>
  <c r="N103" i="7"/>
  <c r="I104" i="7"/>
  <c r="M104" i="7" s="1"/>
  <c r="N104" i="7"/>
  <c r="I105" i="7"/>
  <c r="K105" i="7" s="1"/>
  <c r="N105" i="7"/>
  <c r="I106" i="7"/>
  <c r="K106" i="7" s="1"/>
  <c r="N106" i="7"/>
  <c r="I107" i="7"/>
  <c r="M107" i="7" s="1"/>
  <c r="N107" i="7"/>
  <c r="I108" i="7"/>
  <c r="K108" i="7" s="1"/>
  <c r="N108" i="7"/>
  <c r="I109" i="7"/>
  <c r="K109" i="7" s="1"/>
  <c r="N109" i="7"/>
  <c r="I110" i="7"/>
  <c r="M110" i="7" s="1"/>
  <c r="N110" i="7"/>
  <c r="I111" i="7"/>
  <c r="K111" i="7" s="1"/>
  <c r="N111" i="7"/>
  <c r="I112" i="7"/>
  <c r="K112" i="7" s="1"/>
  <c r="N112" i="7"/>
  <c r="I113" i="7"/>
  <c r="M113" i="7" s="1"/>
  <c r="N113" i="7"/>
  <c r="I114" i="7"/>
  <c r="M114" i="7" s="1"/>
  <c r="N114" i="7"/>
  <c r="I115" i="7"/>
  <c r="K115" i="7" s="1"/>
  <c r="N115" i="7"/>
  <c r="I116" i="7"/>
  <c r="K116" i="7" s="1"/>
  <c r="N116" i="7"/>
  <c r="I117" i="7"/>
  <c r="M117" i="7" s="1"/>
  <c r="K117" i="7"/>
  <c r="N117" i="7"/>
  <c r="I118" i="7"/>
  <c r="K118" i="7" s="1"/>
  <c r="N118" i="7"/>
  <c r="I119" i="7"/>
  <c r="K119" i="7" s="1"/>
  <c r="N119" i="7"/>
  <c r="I120" i="7"/>
  <c r="K120" i="7" s="1"/>
  <c r="N120" i="7"/>
  <c r="I121" i="7"/>
  <c r="M121" i="7" s="1"/>
  <c r="K121" i="7"/>
  <c r="N121" i="7"/>
  <c r="I122" i="7"/>
  <c r="K122" i="7" s="1"/>
  <c r="N122" i="7"/>
  <c r="I123" i="7"/>
  <c r="K123" i="7" s="1"/>
  <c r="I124" i="7"/>
  <c r="K124" i="7" s="1"/>
  <c r="I125" i="7"/>
  <c r="K125" i="7" s="1"/>
  <c r="I126" i="7"/>
  <c r="K126" i="7" s="1"/>
  <c r="N126" i="7"/>
  <c r="I127" i="7"/>
  <c r="K127" i="7" s="1"/>
  <c r="N127" i="7"/>
  <c r="I128" i="7"/>
  <c r="K128" i="7" s="1"/>
  <c r="I129" i="7"/>
  <c r="K129" i="7" s="1"/>
  <c r="I130" i="7"/>
  <c r="K130" i="7" s="1"/>
  <c r="I131" i="7"/>
  <c r="K131" i="7" s="1"/>
  <c r="N131" i="7"/>
  <c r="I132" i="7"/>
  <c r="K132" i="7" s="1"/>
  <c r="M132" i="7"/>
  <c r="N132" i="7"/>
  <c r="N128" i="7" s="1"/>
  <c r="I133" i="7"/>
  <c r="K133" i="7" s="1"/>
  <c r="N133" i="7"/>
  <c r="I134" i="7"/>
  <c r="K134" i="7" s="1"/>
  <c r="N134" i="7"/>
  <c r="I135" i="7"/>
  <c r="K135" i="7" s="1"/>
  <c r="N135" i="7"/>
  <c r="I136" i="7"/>
  <c r="M136" i="7" s="1"/>
  <c r="N136" i="7"/>
  <c r="I137" i="7"/>
  <c r="K137" i="7" s="1"/>
  <c r="I138" i="7"/>
  <c r="M138" i="7" s="1"/>
  <c r="K138" i="7"/>
  <c r="N138" i="7"/>
  <c r="I139" i="7"/>
  <c r="K139" i="7" s="1"/>
  <c r="N139" i="7"/>
  <c r="I140" i="7"/>
  <c r="K140" i="7" s="1"/>
  <c r="N140" i="7"/>
  <c r="I141" i="7"/>
  <c r="M141" i="7" s="1"/>
  <c r="N141" i="7"/>
  <c r="I142" i="7"/>
  <c r="K142" i="7" s="1"/>
  <c r="N142" i="7"/>
  <c r="I143" i="7"/>
  <c r="K143" i="7" s="1"/>
  <c r="M143" i="7"/>
  <c r="N143" i="7"/>
  <c r="I144" i="7"/>
  <c r="K144" i="7" s="1"/>
  <c r="N144" i="7"/>
  <c r="I145" i="7"/>
  <c r="K145" i="7" s="1"/>
  <c r="M145" i="7"/>
  <c r="N145" i="7"/>
  <c r="I146" i="7"/>
  <c r="K146" i="7" s="1"/>
  <c r="N146" i="7"/>
  <c r="I147" i="7"/>
  <c r="K147" i="7" s="1"/>
  <c r="N147" i="7"/>
  <c r="I148" i="7"/>
  <c r="M148" i="7" s="1"/>
  <c r="N148" i="7"/>
  <c r="I149" i="7"/>
  <c r="M149" i="7" s="1"/>
  <c r="N149" i="7"/>
  <c r="I150" i="7"/>
  <c r="K150" i="7" s="1"/>
  <c r="N150" i="7"/>
  <c r="I151" i="7"/>
  <c r="K151" i="7" s="1"/>
  <c r="M151" i="7"/>
  <c r="N151" i="7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C9" i="1"/>
  <c r="C4" i="1"/>
  <c r="K9" i="7" l="1"/>
  <c r="K110" i="7"/>
  <c r="M62" i="7"/>
  <c r="M50" i="7"/>
  <c r="M27" i="7"/>
  <c r="K149" i="7"/>
  <c r="K148" i="7"/>
  <c r="K26" i="7"/>
  <c r="M133" i="7"/>
  <c r="M106" i="7"/>
  <c r="M47" i="7"/>
  <c r="M21" i="7"/>
  <c r="M116" i="7"/>
  <c r="K92" i="7"/>
  <c r="K78" i="7"/>
  <c r="M126" i="7"/>
  <c r="M41" i="7"/>
  <c r="M146" i="7"/>
  <c r="M123" i="7"/>
  <c r="M57" i="7"/>
  <c r="M46" i="7"/>
  <c r="K13" i="7"/>
  <c r="M2" i="7"/>
  <c r="K99" i="7"/>
  <c r="M144" i="7"/>
  <c r="M109" i="7"/>
  <c r="M76" i="7"/>
  <c r="M10" i="7"/>
  <c r="M131" i="7"/>
  <c r="K107" i="7"/>
  <c r="M128" i="7"/>
  <c r="M40" i="7"/>
  <c r="M17" i="7"/>
  <c r="K163" i="7"/>
  <c r="K160" i="7"/>
  <c r="M61" i="7"/>
  <c r="K159" i="7"/>
  <c r="K83" i="7"/>
  <c r="K16" i="7"/>
  <c r="M127" i="7"/>
  <c r="K104" i="7"/>
  <c r="K15" i="7"/>
  <c r="K113" i="7"/>
  <c r="M14" i="7"/>
  <c r="K136" i="7"/>
  <c r="M124" i="7"/>
  <c r="K90" i="7"/>
  <c r="K79" i="7"/>
  <c r="K68" i="7"/>
  <c r="K169" i="7"/>
  <c r="K161" i="7"/>
  <c r="K162" i="7"/>
  <c r="M172" i="7"/>
  <c r="M171" i="7"/>
  <c r="M170" i="7"/>
  <c r="K153" i="7"/>
  <c r="M168" i="7"/>
  <c r="M167" i="7"/>
  <c r="M166" i="7"/>
  <c r="M165" i="7"/>
  <c r="M164" i="7"/>
  <c r="M118" i="7"/>
  <c r="M6" i="7"/>
  <c r="K100" i="7"/>
  <c r="M139" i="7"/>
  <c r="M60" i="7"/>
  <c r="M20" i="7"/>
  <c r="M29" i="7"/>
  <c r="K114" i="7"/>
  <c r="M39" i="7"/>
  <c r="M95" i="7"/>
  <c r="K37" i="7"/>
  <c r="K154" i="7"/>
  <c r="K65" i="7"/>
  <c r="K152" i="7"/>
  <c r="M150" i="7"/>
  <c r="M142" i="7"/>
  <c r="M120" i="7"/>
  <c r="M111" i="7"/>
  <c r="K93" i="7"/>
  <c r="M64" i="7"/>
  <c r="K55" i="7"/>
  <c r="K141" i="7"/>
  <c r="K44" i="7"/>
  <c r="M25" i="7"/>
  <c r="K155" i="7"/>
  <c r="K156" i="7"/>
  <c r="K158" i="7"/>
  <c r="K157" i="7"/>
  <c r="M74" i="7"/>
  <c r="M71" i="7"/>
  <c r="M33" i="7"/>
  <c r="K51" i="7"/>
  <c r="M82" i="7"/>
  <c r="K72" i="7"/>
  <c r="M81" i="7"/>
  <c r="M135" i="7"/>
  <c r="M54" i="7"/>
  <c r="K30" i="7"/>
  <c r="M43" i="7"/>
  <c r="M3" i="7"/>
  <c r="M134" i="7"/>
  <c r="M119" i="7"/>
  <c r="M112" i="7"/>
  <c r="M105" i="7"/>
  <c r="M98" i="7"/>
  <c r="M91" i="7"/>
  <c r="M84" i="7"/>
  <c r="M77" i="7"/>
  <c r="M70" i="7"/>
  <c r="M63" i="7"/>
  <c r="M56" i="7"/>
  <c r="M49" i="7"/>
  <c r="M42" i="7"/>
  <c r="M35" i="7"/>
  <c r="M28" i="7"/>
  <c r="M147" i="7"/>
  <c r="M140" i="7"/>
  <c r="M125" i="7"/>
  <c r="M19" i="7"/>
  <c r="M12" i="7"/>
  <c r="M5" i="7"/>
  <c r="M18" i="7"/>
  <c r="M11" i="7"/>
  <c r="M4" i="7"/>
  <c r="M24" i="7"/>
  <c r="M137" i="7"/>
  <c r="M130" i="7"/>
  <c r="M122" i="7"/>
  <c r="M115" i="7"/>
  <c r="M108" i="7"/>
  <c r="M101" i="7"/>
  <c r="M94" i="7"/>
  <c r="M87" i="7"/>
  <c r="M80" i="7"/>
  <c r="M73" i="7"/>
  <c r="M66" i="7"/>
  <c r="M59" i="7"/>
  <c r="M52" i="7"/>
  <c r="M45" i="7"/>
  <c r="M38" i="7"/>
  <c r="M31" i="7"/>
  <c r="M129" i="7"/>
  <c r="M23" i="7"/>
  <c r="C7" i="1"/>
  <c r="H20" i="1"/>
  <c r="C6" i="1"/>
  <c r="C8" i="1"/>
  <c r="C5" i="1"/>
</calcChain>
</file>

<file path=xl/sharedStrings.xml><?xml version="1.0" encoding="utf-8"?>
<sst xmlns="http://schemas.openxmlformats.org/spreadsheetml/2006/main" count="631" uniqueCount="360">
  <si>
    <t>MDF INVENTORY DASHBOARD</t>
  </si>
  <si>
    <t>Total MDF Types</t>
  </si>
  <si>
    <t>Total Sheets in Stock</t>
  </si>
  <si>
    <t>Critical Items (Red)</t>
  </si>
  <si>
    <t>Low Stock Items (Yellow)</t>
  </si>
  <si>
    <t>Restock Required Count</t>
  </si>
  <si>
    <t>Last Updated</t>
  </si>
  <si>
    <t>Sr</t>
  </si>
  <si>
    <t>MDF Name</t>
  </si>
  <si>
    <t>Qty</t>
  </si>
  <si>
    <t>Shelf</t>
  </si>
  <si>
    <t>Material Taken</t>
  </si>
  <si>
    <t>Material Restocked</t>
  </si>
  <si>
    <t>Total Materials Left</t>
  </si>
  <si>
    <t>Restock Status</t>
  </si>
  <si>
    <t>Shelf 1</t>
  </si>
  <si>
    <t>MR White 18mm</t>
  </si>
  <si>
    <t>MR Plain 18mm</t>
  </si>
  <si>
    <t>Shelf 2</t>
  </si>
  <si>
    <t>MR White 9mm</t>
  </si>
  <si>
    <t>-</t>
  </si>
  <si>
    <t>N/A</t>
  </si>
  <si>
    <t>MR Plain 9mm</t>
  </si>
  <si>
    <t>Shelf 3</t>
  </si>
  <si>
    <t>Shelf 4</t>
  </si>
  <si>
    <t>RTA Veneer</t>
  </si>
  <si>
    <t>Shelf 3 &amp; 4</t>
  </si>
  <si>
    <t>RTA MDF</t>
  </si>
  <si>
    <t>FRIZAD Wood Veneer</t>
  </si>
  <si>
    <t>Plain One Side White</t>
  </si>
  <si>
    <t>3006</t>
  </si>
  <si>
    <t>Crossed Out / Removed Item</t>
  </si>
  <si>
    <t>Tarq Bhai House Stairs</t>
  </si>
  <si>
    <t>211</t>
  </si>
  <si>
    <t>S-241 SF RTA Table</t>
  </si>
  <si>
    <t>MF-321 RTA</t>
  </si>
  <si>
    <t>U-Groove 871X</t>
  </si>
  <si>
    <t>IROKO Natural Veneer</t>
  </si>
  <si>
    <t>Full Router</t>
  </si>
  <si>
    <t>Date</t>
  </si>
  <si>
    <t>W8191 Fusion Maple Laminate</t>
  </si>
  <si>
    <t>Black Knob</t>
  </si>
  <si>
    <t>pcs</t>
  </si>
  <si>
    <t>roll</t>
  </si>
  <si>
    <t>Wire Black &amp; Red</t>
  </si>
  <si>
    <t>White Wire 1.5mm</t>
  </si>
  <si>
    <t>box</t>
  </si>
  <si>
    <t>Connector</t>
  </si>
  <si>
    <t>Sensor Button</t>
  </si>
  <si>
    <t>Black Button Round</t>
  </si>
  <si>
    <t>Bed Button</t>
  </si>
  <si>
    <t>Plug Switch</t>
  </si>
  <si>
    <t>Single Box</t>
  </si>
  <si>
    <t>Single Socket</t>
  </si>
  <si>
    <t>Double Socket</t>
  </si>
  <si>
    <t>Double Box</t>
  </si>
  <si>
    <t>LED Driver 200W</t>
  </si>
  <si>
    <t>LED Driver 60W</t>
  </si>
  <si>
    <t>LED White</t>
  </si>
  <si>
    <t>LED Driver 100W</t>
  </si>
  <si>
    <t>COB LED Warm White Light</t>
  </si>
  <si>
    <t>Glass Bracket 6mm</t>
  </si>
  <si>
    <t>Glass Bracket 8mm</t>
  </si>
  <si>
    <t>Grinder Lock No 60-80</t>
  </si>
  <si>
    <t>Plastic Knob</t>
  </si>
  <si>
    <t>Robust line</t>
  </si>
  <si>
    <t>Cupboard Lock 138-22</t>
  </si>
  <si>
    <t>Armstrong</t>
  </si>
  <si>
    <t>Cupboard Lock 507-11</t>
  </si>
  <si>
    <t>Cupboard Lock 138-38</t>
  </si>
  <si>
    <t>Grinder Sandpaper No 220</t>
  </si>
  <si>
    <t>Grinder Sandpaper No. 120</t>
  </si>
  <si>
    <t>Apple Adhesive</t>
  </si>
  <si>
    <t>Box</t>
  </si>
  <si>
    <t>Grinder sand Paper No. 60</t>
  </si>
  <si>
    <t>Grinder sand Paper No. 80</t>
  </si>
  <si>
    <t>Shelf Bracket 20 CM Black</t>
  </si>
  <si>
    <t>30cm Undermount Channel Soft</t>
  </si>
  <si>
    <t>30cm Undermount Channel Push</t>
  </si>
  <si>
    <t>Redelone</t>
  </si>
  <si>
    <t>Door Stopper</t>
  </si>
  <si>
    <t>Hydraulic Machine (Bed)</t>
  </si>
  <si>
    <t>Wooden Door Rubber</t>
  </si>
  <si>
    <t>set</t>
  </si>
  <si>
    <t>Tendon Box 40cm</t>
  </si>
  <si>
    <t>Zhongdai</t>
  </si>
  <si>
    <t>Sliding Door Handle SS 11cm</t>
  </si>
  <si>
    <t>carton</t>
  </si>
  <si>
    <t>Partition Bracket</t>
  </si>
  <si>
    <t>Face Mask</t>
  </si>
  <si>
    <t>SS Door Handle Black 15cm</t>
  </si>
  <si>
    <t>SS Handle Black 24cm</t>
  </si>
  <si>
    <t>Generic</t>
  </si>
  <si>
    <t>SS Door Handle Black 1.5cm</t>
  </si>
  <si>
    <t>Sliding Door Handle Black 17cm</t>
  </si>
  <si>
    <t>Sliding Door Handle 14cm</t>
  </si>
  <si>
    <t>Ajlan</t>
  </si>
  <si>
    <t>Steel Handle 20cm</t>
  </si>
  <si>
    <t>Steel Handle 15cm</t>
  </si>
  <si>
    <t>Euro-fit</t>
  </si>
  <si>
    <t>Golden Handle 25cm</t>
  </si>
  <si>
    <t>Tendon Box 45cm</t>
  </si>
  <si>
    <t>Tendon Box 50cm</t>
  </si>
  <si>
    <t>Black Spray</t>
  </si>
  <si>
    <t>20cm Undermount Channel Push</t>
  </si>
  <si>
    <t>20cm Undermount Channel Soft</t>
  </si>
  <si>
    <t>25cm Undermount Channel Push</t>
  </si>
  <si>
    <t>25cm Undermount Channel Soft</t>
  </si>
  <si>
    <t>35cm Undermount Channel Push</t>
  </si>
  <si>
    <t>35cm Undermount Channel Soft</t>
  </si>
  <si>
    <t>40cm Undermount Channel Push</t>
  </si>
  <si>
    <t>40cm Undermount Channel Soft</t>
  </si>
  <si>
    <t>45cm Undermount Channel Push</t>
  </si>
  <si>
    <t>45cm Undermount Channel Soft</t>
  </si>
  <si>
    <t>50cm Undermount Channel Push</t>
  </si>
  <si>
    <t>50cm Undermount Channel Soft</t>
  </si>
  <si>
    <t>Cupboard Fitting</t>
  </si>
  <si>
    <t>Hydraulic Hinges Door (Lailchen)</t>
  </si>
  <si>
    <t>Hydraulic Bed</t>
  </si>
  <si>
    <t>Table Cover with Brush 30cm</t>
  </si>
  <si>
    <t>Table Cover with Brush 42cm</t>
  </si>
  <si>
    <t>Table Cover (Round) 16cm</t>
  </si>
  <si>
    <t>Sensor Lock Drawer</t>
  </si>
  <si>
    <t>Catcher Grey</t>
  </si>
  <si>
    <t>Polythene Roll</t>
  </si>
  <si>
    <t>Corrugated Roll</t>
  </si>
  <si>
    <t>Stretch Roll</t>
  </si>
  <si>
    <t>Shelf Button</t>
  </si>
  <si>
    <t>SH</t>
  </si>
  <si>
    <t>Fevicol 5 Kilo SH</t>
  </si>
  <si>
    <t>Bedcombine Patvi (Fiting)</t>
  </si>
  <si>
    <t>Hanger Patvi (Fiting)</t>
  </si>
  <si>
    <t>CNP</t>
  </si>
  <si>
    <t>Wooden Door Foam Spray</t>
  </si>
  <si>
    <t>Akfix</t>
  </si>
  <si>
    <t>packet</t>
  </si>
  <si>
    <t>Plastic Zaviya White</t>
  </si>
  <si>
    <t>Steel Zaviya (GI Bracket)</t>
  </si>
  <si>
    <t>Concealed Hinges</t>
  </si>
  <si>
    <t>Wooden Door Cylinder</t>
  </si>
  <si>
    <t>Wooden Door Machine</t>
  </si>
  <si>
    <t>Wooden Door Handle</t>
  </si>
  <si>
    <t>Wooden Door Hinges White</t>
  </si>
  <si>
    <t>Wooden Door Hinges Black</t>
  </si>
  <si>
    <t>Key Hook</t>
  </si>
  <si>
    <t>Door Closer</t>
  </si>
  <si>
    <t>Black Leg</t>
  </si>
  <si>
    <t>Wooden Biscuit / Blades</t>
  </si>
  <si>
    <t>Speb</t>
  </si>
  <si>
    <t>White Liping</t>
  </si>
  <si>
    <t>Gladdar White</t>
  </si>
  <si>
    <t>Clear Tape 2 inch</t>
  </si>
  <si>
    <t>Masking Tape 1 inch</t>
  </si>
  <si>
    <t>Masking Tape 2 inch</t>
  </si>
  <si>
    <t>Stapler GunPin No.851</t>
  </si>
  <si>
    <t>Stapler Big PinGun No.60</t>
  </si>
  <si>
    <t>Stapler Pin Single F-50</t>
  </si>
  <si>
    <t>Stapler Pin Single F-35</t>
  </si>
  <si>
    <t>Stapler Pin Single F-30</t>
  </si>
  <si>
    <t>Stapler Pin Single F-25</t>
  </si>
  <si>
    <t>Stapler Pin Single F-20</t>
  </si>
  <si>
    <t>Stapler Pin Single F-15</t>
  </si>
  <si>
    <t>Corner Hinges</t>
  </si>
  <si>
    <t>Hinges C Type</t>
  </si>
  <si>
    <t>Hinges B Type</t>
  </si>
  <si>
    <t>Hinges A Type</t>
  </si>
  <si>
    <t>3 inch Concrete Nail</t>
  </si>
  <si>
    <t>2.5 inch Concrete Nail</t>
  </si>
  <si>
    <t>2 inch Concrete Nail</t>
  </si>
  <si>
    <t>1.5 inch Concrete Nail</t>
  </si>
  <si>
    <t>1.5 inch White Nail</t>
  </si>
  <si>
    <t>1 inch White Nail</t>
  </si>
  <si>
    <t>4 inch Black Screw</t>
  </si>
  <si>
    <t>3 inch Black Screw</t>
  </si>
  <si>
    <t>2.5 inch Black Screw</t>
  </si>
  <si>
    <t>2 inch Black Screw</t>
  </si>
  <si>
    <t>1.5 inch Black Screw</t>
  </si>
  <si>
    <t>1.25 inch Black Screw</t>
  </si>
  <si>
    <t>1 inch Black Screw</t>
  </si>
  <si>
    <t>3/4 White Screw</t>
  </si>
  <si>
    <t>3/4 Black Screw</t>
  </si>
  <si>
    <t>20cm Push Channel</t>
  </si>
  <si>
    <t>20cm Soft Close</t>
  </si>
  <si>
    <t>Ruby</t>
  </si>
  <si>
    <t>20cm Normal</t>
  </si>
  <si>
    <t>Ultimate</t>
  </si>
  <si>
    <t>25cm Push Channel</t>
  </si>
  <si>
    <t>25cm Softclose Channel</t>
  </si>
  <si>
    <t>Eurofit</t>
  </si>
  <si>
    <t>25cm Normal</t>
  </si>
  <si>
    <t>30cm Normal Channel</t>
  </si>
  <si>
    <t>Evo Ultimate</t>
  </si>
  <si>
    <t>30cm Push Channel</t>
  </si>
  <si>
    <t>Zhongtai</t>
  </si>
  <si>
    <t>30cm Soft Channel</t>
  </si>
  <si>
    <t>35cm Normal Channel</t>
  </si>
  <si>
    <t>35cm Push Channel</t>
  </si>
  <si>
    <t>35cm Softclose Channel</t>
  </si>
  <si>
    <t>40cm Normal Channel</t>
  </si>
  <si>
    <t>40cm Push Channel</t>
  </si>
  <si>
    <t>40cm Softclose Channel</t>
  </si>
  <si>
    <t>45cm Normal Channel</t>
  </si>
  <si>
    <t>45cm Push Channel</t>
  </si>
  <si>
    <t>45cm Softclose Channel</t>
  </si>
  <si>
    <t>50cm Push Channel</t>
  </si>
  <si>
    <t>50cm Softclose Channel</t>
  </si>
  <si>
    <t>GP</t>
  </si>
  <si>
    <t>Brown Silicon</t>
  </si>
  <si>
    <t>Black Silicon</t>
  </si>
  <si>
    <t>Glass Silicon</t>
  </si>
  <si>
    <t>White Silicon</t>
  </si>
  <si>
    <t>Clear Silicon</t>
  </si>
  <si>
    <t>Reorder Needed</t>
  </si>
  <si>
    <t>Reorder Level</t>
  </si>
  <si>
    <t>Total Value</t>
  </si>
  <si>
    <t>Cost Per Item</t>
  </si>
  <si>
    <t>Remaining Qty</t>
  </si>
  <si>
    <t>Job Number</t>
  </si>
  <si>
    <t>Material Added</t>
  </si>
  <si>
    <t>Brand</t>
  </si>
  <si>
    <t>Unit</t>
  </si>
  <si>
    <t>Total (Current Stock)</t>
  </si>
  <si>
    <t>Name</t>
  </si>
  <si>
    <t>Item No</t>
  </si>
  <si>
    <t>Pcs</t>
  </si>
  <si>
    <t>Tower Bolt</t>
  </si>
  <si>
    <t>Slim Channel</t>
  </si>
  <si>
    <t>Slim Channel Hook</t>
  </si>
  <si>
    <t>Profile 1 CM</t>
  </si>
  <si>
    <t>Profile 1 Inch</t>
  </si>
  <si>
    <t>PCs</t>
  </si>
  <si>
    <t>Insulation Tape</t>
  </si>
  <si>
    <t>Bed Fitting Hinges</t>
  </si>
  <si>
    <t>Set</t>
  </si>
  <si>
    <t>L Patty Black SS</t>
  </si>
  <si>
    <t>Inche Tape</t>
  </si>
  <si>
    <t>Wooden Saw (Ari)</t>
  </si>
  <si>
    <t>DWM 26 PVC Sheet 290*120</t>
  </si>
  <si>
    <t>T-Bar Black 3mm</t>
  </si>
  <si>
    <t xml:space="preserve">End 3MM Black </t>
  </si>
  <si>
    <t>8055-Y2 PVC</t>
  </si>
  <si>
    <t>Ajman Warehouse</t>
  </si>
  <si>
    <t>T Bar 3mm 10 Pcs Ajman warehouse</t>
  </si>
  <si>
    <t>End 3MM Black 10 Pcs Ajman warehouse</t>
  </si>
  <si>
    <t>Location</t>
  </si>
  <si>
    <t>Warm White 51 18mm</t>
  </si>
  <si>
    <t xml:space="preserve">MR White 18MM 2 Side </t>
  </si>
  <si>
    <t>MR 1 side 9mm</t>
  </si>
  <si>
    <t>Plain 18mm</t>
  </si>
  <si>
    <t xml:space="preserve">MR White 1 Side 6mm </t>
  </si>
  <si>
    <t>White 1 side 9mm</t>
  </si>
  <si>
    <t>Plain 9mm</t>
  </si>
  <si>
    <t>Plain 12 mm</t>
  </si>
  <si>
    <t>Plain 6mm</t>
  </si>
  <si>
    <t>Silver 07 6mm</t>
  </si>
  <si>
    <t>Daylight 279</t>
  </si>
  <si>
    <t>Cosmic Latte 113</t>
  </si>
  <si>
    <t>Original Walnut 245</t>
  </si>
  <si>
    <t>Spanish Olive 745</t>
  </si>
  <si>
    <t>Groove 18mm</t>
  </si>
  <si>
    <t>Hard Maple 25</t>
  </si>
  <si>
    <t>White 1 side 6mm</t>
  </si>
  <si>
    <t>White 1 side 12 mm</t>
  </si>
  <si>
    <t>French Walnut 225</t>
  </si>
  <si>
    <t>Biscuit Beach 273</t>
  </si>
  <si>
    <t>White 2 side 6mm</t>
  </si>
  <si>
    <t>Milky Cement 9004</t>
  </si>
  <si>
    <t>Midnight Grey 275</t>
  </si>
  <si>
    <t>Dark Cement 212</t>
  </si>
  <si>
    <t>GIZR 6025</t>
  </si>
  <si>
    <t>Crystal Grey 1176</t>
  </si>
  <si>
    <t>Clear Stream Oak 211</t>
  </si>
  <si>
    <t>Plain Lam 1025</t>
  </si>
  <si>
    <t>Silver Grey 1015</t>
  </si>
  <si>
    <t>Pure White 3176</t>
  </si>
  <si>
    <t>Industrial White 3083</t>
  </si>
  <si>
    <t>Super Crystal 1182</t>
  </si>
  <si>
    <t>Mist Grey 278</t>
  </si>
  <si>
    <t>White 5762</t>
  </si>
  <si>
    <t>Cinnamon Oak 9049</t>
  </si>
  <si>
    <t>White 2 side 12 mm</t>
  </si>
  <si>
    <t>Dark Grey 56</t>
  </si>
  <si>
    <t>RTA Turnkey</t>
  </si>
  <si>
    <t>Groove 12mm</t>
  </si>
  <si>
    <t>Silver Brushed 06</t>
  </si>
  <si>
    <t>Cambric 80</t>
  </si>
  <si>
    <t>Yellow Birch 267</t>
  </si>
  <si>
    <t>Brazil Walnut 015</t>
  </si>
  <si>
    <t>3009 Pure Black 3009</t>
  </si>
  <si>
    <t>MR Plain 6mm</t>
  </si>
  <si>
    <t>Light Grey Marble 241</t>
  </si>
  <si>
    <t>Original Wallnut 246</t>
  </si>
  <si>
    <t>MEL B/S Beau Castel 203</t>
  </si>
  <si>
    <t>AKF47-11 Design</t>
  </si>
  <si>
    <t>AKF-12 Plain</t>
  </si>
  <si>
    <t>202 Angelo Nose 18mm</t>
  </si>
  <si>
    <t>202 Angelo Nose 6mm</t>
  </si>
  <si>
    <t>Arbab Sofa Fabric (In Ajman)</t>
  </si>
  <si>
    <t>PL18 Plywood Comm 18mm 4x8</t>
  </si>
  <si>
    <t>Hotel Work &amp; Wallnut</t>
  </si>
  <si>
    <t>Door Sensor 2-1/4 SPDT large</t>
  </si>
  <si>
    <t>Ibrahim JOB</t>
  </si>
  <si>
    <t>Ibrahim Job</t>
  </si>
  <si>
    <t>Hanger Pipe/Oval Pipe</t>
  </si>
  <si>
    <t xml:space="preserve">Butterfly Fisher/Gypsum plug </t>
  </si>
  <si>
    <t>LP Spray/Bond Kit</t>
  </si>
  <si>
    <t>Bison Kit/Heat Fix</t>
  </si>
  <si>
    <t>Staple Pin 8006</t>
  </si>
  <si>
    <t>AFF</t>
  </si>
  <si>
    <t>Hand Cutter</t>
  </si>
  <si>
    <t>Meijl</t>
  </si>
  <si>
    <t>Spray Gun</t>
  </si>
  <si>
    <t>Makita</t>
  </si>
  <si>
    <t>Sander (Sanding Machine)</t>
  </si>
  <si>
    <t>Covered Out side</t>
  </si>
  <si>
    <t>(Unknown)</t>
  </si>
  <si>
    <t>1</t>
  </si>
  <si>
    <t>Compressor</t>
  </si>
  <si>
    <t>Edon</t>
  </si>
  <si>
    <t>Compressor (Small)</t>
  </si>
  <si>
    <t>Groven</t>
  </si>
  <si>
    <t>2</t>
  </si>
  <si>
    <t>Compressor (Big)</t>
  </si>
  <si>
    <t>Brand Unknown</t>
  </si>
  <si>
    <t>Stairs</t>
  </si>
  <si>
    <t>AS16</t>
  </si>
  <si>
    <t>Hole Machine</t>
  </si>
  <si>
    <t>4</t>
  </si>
  <si>
    <t>Drill</t>
  </si>
  <si>
    <t>Clikon</t>
  </si>
  <si>
    <t>Press Machine</t>
  </si>
  <si>
    <t>Makita / HilDA</t>
  </si>
  <si>
    <t>1 + 1</t>
  </si>
  <si>
    <t>Biscuit Machine</t>
  </si>
  <si>
    <t>Medium Router</t>
  </si>
  <si>
    <t>Big Router Machine</t>
  </si>
  <si>
    <t>Hilti</t>
  </si>
  <si>
    <t>Almax / Powermaster</t>
  </si>
  <si>
    <t>U-Tech</t>
  </si>
  <si>
    <t>Stapler Pin U-Pin Big Gun</t>
  </si>
  <si>
    <t>Stapler Pin U-Pin Gun</t>
  </si>
  <si>
    <t>Stapler Pin Gun (Single)</t>
  </si>
  <si>
    <t>Grinder</t>
  </si>
  <si>
    <t>1 gone for service</t>
  </si>
  <si>
    <t>2+1</t>
  </si>
  <si>
    <t>Jigsaw Machine</t>
  </si>
  <si>
    <t>DeWalt</t>
  </si>
  <si>
    <t>Tighter (Small)</t>
  </si>
  <si>
    <t>Stanley</t>
  </si>
  <si>
    <t>3+1</t>
  </si>
  <si>
    <t>Tighter (Big)</t>
  </si>
  <si>
    <t>3</t>
  </si>
  <si>
    <t>Router</t>
  </si>
  <si>
    <t>VMC</t>
  </si>
  <si>
    <t>Spindle Machine</t>
  </si>
  <si>
    <t>Felder</t>
  </si>
  <si>
    <t>Slider / Cutter Machine</t>
  </si>
  <si>
    <t>Comments</t>
  </si>
  <si>
    <t>Equipment</t>
  </si>
  <si>
    <t>SJF Assets &amp; Equipment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</si>
</sst>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mm/dd/yyyy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ptos Narrow"/>
    </font>
    <font>
      <b/>
      <sz val="16"/>
      <color rgb="FF1B3A5C"/>
      <name val="Calibri"/>
      <family val="2"/>
    </font>
    <font>
      <b/>
      <sz val="12"/>
      <color rgb="FF333333"/>
      <name val="Calibri"/>
      <family val="2"/>
    </font>
    <font>
      <b/>
      <sz val="12"/>
      <color rgb="FF1B3A5C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0000FF"/>
      <name val="Calibri"/>
      <family val="2"/>
    </font>
    <font>
      <sz val="12"/>
      <color rgb="FF006100"/>
      <name val="Calibri"/>
      <family val="2"/>
    </font>
    <font>
      <sz val="12"/>
      <color rgb="FF8B8000"/>
      <name val="Calibri"/>
      <family val="2"/>
    </font>
    <font>
      <sz val="12"/>
      <color rgb="FFCC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10100"/>
      <name val="Aptos Narrow"/>
    </font>
    <font>
      <sz val="12"/>
      <color rgb="FF010100"/>
      <name val="Calibri"/>
      <family val="2"/>
      <scheme val="minor"/>
    </font>
    <font>
      <sz val="12"/>
      <color rgb="FF010100"/>
      <name val="Arial"/>
      <family val="2"/>
    </font>
    <font>
      <sz val="14"/>
      <color rgb="FF010100"/>
      <name val="Arial"/>
      <family val="2"/>
    </font>
    <font>
      <sz val="14"/>
      <color theme="1"/>
      <name val="Arial"/>
      <family val="2"/>
    </font>
    <font>
      <sz val="11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8EFF5"/>
      </patternFill>
    </fill>
    <fill>
      <patternFill patternType="solid">
        <fgColor rgb="FFF5F7FA"/>
      </patternFill>
    </fill>
    <fill>
      <patternFill patternType="solid">
        <fgColor rgb="FF1B3A5C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ACD"/>
      </patternFill>
    </fill>
    <fill>
      <patternFill patternType="solid">
        <fgColor rgb="FFFFCC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D9EAD3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0D2137"/>
      </bottom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medium">
        <color rgb="FF999999"/>
      </left>
      <right style="thin">
        <color rgb="FF888888"/>
      </right>
      <top/>
      <bottom/>
      <diagonal/>
    </border>
    <border>
      <left style="thin">
        <color rgb="FF888888"/>
      </left>
      <right style="thin">
        <color rgb="FF888888"/>
      </right>
      <top/>
      <bottom style="medium">
        <color rgb="FF1B3A5C"/>
      </bottom>
      <diagonal/>
    </border>
    <border>
      <left style="medium">
        <color rgb="FF999999"/>
      </left>
      <right style="thin">
        <color rgb="FF888888"/>
      </right>
      <top/>
      <bottom style="medium">
        <color rgb="FF1B3A5C"/>
      </bottom>
      <diagonal/>
    </border>
    <border>
      <left style="thin">
        <color theme="4" tint="0.19998779259620961"/>
      </left>
      <right/>
      <top style="thin">
        <color theme="4" tint="0.19998779259620961"/>
      </top>
      <bottom style="thin">
        <color theme="4" tint="0.19998779259620961"/>
      </bottom>
      <diagonal/>
    </border>
    <border>
      <left/>
      <right style="thin">
        <color theme="4" tint="0.19998779259620961"/>
      </right>
      <top style="thin">
        <color theme="4" tint="0.19998779259620961"/>
      </top>
      <bottom style="thin">
        <color theme="4" tint="0.19998779259620961"/>
      </bottom>
      <diagonal/>
    </border>
    <border>
      <left/>
      <right/>
      <top style="thin">
        <color theme="4" tint="0.19998779259620961"/>
      </top>
      <bottom style="thin">
        <color theme="4" tint="0.1999877925962096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4">
    <xf numFmtId="0" fontId="0" fillId="0" borderId="1"/>
    <xf numFmtId="0" fontId="15" fillId="0" borderId="1"/>
    <xf numFmtId="0" fontId="22" fillId="12" borderId="0" applyNumberFormat="0" applyBorder="0" applyAlignment="0" applyProtection="0"/>
    <xf numFmtId="0" fontId="1" fillId="0" borderId="1"/>
  </cellStyleXfs>
  <cellXfs count="96">
    <xf numFmtId="0" fontId="0" fillId="0" borderId="1" xfId="0"/>
    <xf numFmtId="0" fontId="5" fillId="2" borderId="1" xfId="0" applyFont="1" applyFill="1"/>
    <xf numFmtId="0" fontId="0" fillId="2" borderId="1" xfId="0" applyFill="1"/>
    <xf numFmtId="0" fontId="0" fillId="2" borderId="1" xfId="0" applyFill="1"/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0" fillId="3" borderId="2" xfId="0" applyFill="1" applyBorder="1"/>
    <xf numFmtId="164" fontId="7" fillId="3" borderId="2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vertical="center"/>
    </xf>
    <xf numFmtId="0" fontId="9" fillId="6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5" fillId="0" borderId="1" xfId="1"/>
    <xf numFmtId="0" fontId="15" fillId="0" borderId="1" xfId="1" applyBorder="1"/>
    <xf numFmtId="0" fontId="16" fillId="0" borderId="1" xfId="1" applyFont="1" applyBorder="1"/>
    <xf numFmtId="0" fontId="18" fillId="11" borderId="9" xfId="1" applyFont="1" applyFill="1" applyBorder="1"/>
    <xf numFmtId="0" fontId="18" fillId="11" borderId="10" xfId="1" applyFont="1" applyFill="1" applyBorder="1"/>
    <xf numFmtId="4" fontId="17" fillId="11" borderId="10" xfId="1" applyNumberFormat="1" applyFont="1" applyFill="1" applyBorder="1" applyAlignment="1">
      <alignment vertical="top"/>
    </xf>
    <xf numFmtId="0" fontId="18" fillId="0" borderId="9" xfId="1" applyFont="1" applyBorder="1"/>
    <xf numFmtId="0" fontId="18" fillId="0" borderId="10" xfId="1" applyFont="1" applyBorder="1"/>
    <xf numFmtId="0" fontId="16" fillId="0" borderId="1" xfId="1" applyFont="1"/>
    <xf numFmtId="0" fontId="19" fillId="0" borderId="10" xfId="1" applyFont="1" applyBorder="1" applyAlignment="1">
      <alignment vertical="top"/>
    </xf>
    <xf numFmtId="165" fontId="17" fillId="11" borderId="9" xfId="1" applyNumberFormat="1" applyFont="1" applyFill="1" applyBorder="1" applyAlignment="1">
      <alignment vertical="top"/>
    </xf>
    <xf numFmtId="0" fontId="17" fillId="11" borderId="10" xfId="1" applyFont="1" applyFill="1" applyBorder="1" applyAlignment="1">
      <alignment vertical="top"/>
    </xf>
    <xf numFmtId="0" fontId="18" fillId="11" borderId="10" xfId="1" applyFont="1" applyFill="1" applyBorder="1" applyAlignment="1" applyProtection="1">
      <alignment vertical="top"/>
      <protection locked="0"/>
    </xf>
    <xf numFmtId="3" fontId="17" fillId="11" borderId="10" xfId="1" applyNumberFormat="1" applyFont="1" applyFill="1" applyBorder="1" applyAlignment="1">
      <alignment vertical="top"/>
    </xf>
    <xf numFmtId="0" fontId="19" fillId="11" borderId="10" xfId="1" applyFont="1" applyFill="1" applyBorder="1" applyAlignment="1">
      <alignment vertical="top"/>
    </xf>
    <xf numFmtId="165" fontId="17" fillId="0" borderId="9" xfId="1" applyNumberFormat="1" applyFont="1" applyBorder="1" applyAlignment="1">
      <alignment vertical="top"/>
    </xf>
    <xf numFmtId="0" fontId="17" fillId="0" borderId="10" xfId="1" applyFont="1" applyBorder="1" applyAlignment="1">
      <alignment vertical="top"/>
    </xf>
    <xf numFmtId="0" fontId="18" fillId="0" borderId="10" xfId="1" applyFont="1" applyBorder="1" applyAlignment="1" applyProtection="1">
      <alignment vertical="top"/>
      <protection locked="0"/>
    </xf>
    <xf numFmtId="3" fontId="17" fillId="0" borderId="10" xfId="1" applyNumberFormat="1" applyFont="1" applyBorder="1" applyAlignment="1">
      <alignment vertical="top"/>
    </xf>
    <xf numFmtId="0" fontId="19" fillId="0" borderId="10" xfId="1" applyFont="1" applyBorder="1"/>
    <xf numFmtId="0" fontId="4" fillId="10" borderId="9" xfId="1" applyFont="1" applyFill="1" applyBorder="1" applyAlignment="1">
      <alignment vertical="top"/>
    </xf>
    <xf numFmtId="0" fontId="4" fillId="10" borderId="10" xfId="1" applyFont="1" applyFill="1" applyBorder="1" applyAlignment="1">
      <alignment vertical="top"/>
    </xf>
    <xf numFmtId="0" fontId="4" fillId="10" borderId="8" xfId="1" applyFont="1" applyFill="1" applyBorder="1" applyAlignment="1">
      <alignment vertical="top"/>
    </xf>
    <xf numFmtId="0" fontId="14" fillId="6" borderId="4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  <xf numFmtId="0" fontId="3" fillId="0" borderId="1" xfId="0" applyFont="1"/>
    <xf numFmtId="0" fontId="15" fillId="0" borderId="1" xfId="1" applyFill="1"/>
    <xf numFmtId="1" fontId="20" fillId="11" borderId="8" xfId="1" applyNumberFormat="1" applyFont="1" applyFill="1" applyBorder="1" applyAlignment="1">
      <alignment horizontal="left" vertical="top"/>
    </xf>
    <xf numFmtId="0" fontId="21" fillId="0" borderId="1" xfId="1" applyFont="1" applyAlignment="1">
      <alignment horizontal="left"/>
    </xf>
    <xf numFmtId="0" fontId="0" fillId="0" borderId="1" xfId="0" applyBorder="1"/>
    <xf numFmtId="0" fontId="23" fillId="0" borderId="1" xfId="1" applyFont="1" applyAlignment="1">
      <alignment horizontal="left"/>
    </xf>
    <xf numFmtId="16" fontId="15" fillId="0" borderId="1" xfId="1" applyNumberFormat="1"/>
    <xf numFmtId="0" fontId="22" fillId="12" borderId="5" xfId="2" applyBorder="1" applyAlignment="1">
      <alignment horizontal="center" vertical="center"/>
    </xf>
    <xf numFmtId="0" fontId="2" fillId="0" borderId="1" xfId="0" applyFont="1"/>
    <xf numFmtId="0" fontId="22" fillId="12" borderId="1" xfId="2" applyBorder="1"/>
    <xf numFmtId="0" fontId="1" fillId="0" borderId="1" xfId="3"/>
    <xf numFmtId="0" fontId="1" fillId="0" borderId="11" xfId="3" applyBorder="1"/>
    <xf numFmtId="0" fontId="1" fillId="0" borderId="1" xfId="3" applyBorder="1"/>
    <xf numFmtId="0" fontId="1" fillId="0" borderId="12" xfId="3" applyBorder="1"/>
    <xf numFmtId="0" fontId="1" fillId="0" borderId="13" xfId="3" applyBorder="1"/>
    <xf numFmtId="0" fontId="1" fillId="0" borderId="14" xfId="3" applyBorder="1"/>
    <xf numFmtId="0" fontId="1" fillId="0" borderId="15" xfId="3" applyBorder="1"/>
    <xf numFmtId="0" fontId="1" fillId="0" borderId="16" xfId="3" applyBorder="1"/>
    <xf numFmtId="0" fontId="1" fillId="0" borderId="17" xfId="3" applyBorder="1"/>
    <xf numFmtId="0" fontId="1" fillId="0" borderId="18" xfId="3" applyBorder="1"/>
    <xf numFmtId="0" fontId="1" fillId="0" borderId="19" xfId="3" applyBorder="1"/>
    <xf numFmtId="0" fontId="1" fillId="0" borderId="15" xfId="3" applyBorder="1" applyAlignment="1">
      <alignment horizontal="center"/>
    </xf>
    <xf numFmtId="0" fontId="1" fillId="0" borderId="17" xfId="3" applyFill="1" applyBorder="1"/>
    <xf numFmtId="0" fontId="1" fillId="0" borderId="12" xfId="3" applyFill="1" applyBorder="1" applyAlignment="1">
      <alignment horizontal="center"/>
    </xf>
    <xf numFmtId="0" fontId="1" fillId="0" borderId="16" xfId="3" applyBorder="1" applyAlignment="1">
      <alignment horizontal="center"/>
    </xf>
    <xf numFmtId="0" fontId="1" fillId="0" borderId="12" xfId="3" applyFill="1" applyBorder="1"/>
    <xf numFmtId="0" fontId="1" fillId="0" borderId="19" xfId="3" applyFill="1" applyBorder="1"/>
    <xf numFmtId="0" fontId="1" fillId="0" borderId="18" xfId="3" applyFill="1" applyBorder="1" applyAlignment="1">
      <alignment horizontal="center"/>
    </xf>
    <xf numFmtId="0" fontId="1" fillId="0" borderId="12" xfId="3" applyBorder="1" applyAlignment="1">
      <alignment horizontal="center"/>
    </xf>
    <xf numFmtId="0" fontId="1" fillId="0" borderId="20" xfId="3" applyBorder="1"/>
    <xf numFmtId="0" fontId="24" fillId="13" borderId="19" xfId="3" applyFont="1" applyFill="1" applyBorder="1" applyAlignment="1">
      <alignment horizontal="center"/>
    </xf>
    <xf numFmtId="0" fontId="24" fillId="13" borderId="12" xfId="3" applyFont="1" applyFill="1" applyBorder="1" applyAlignment="1">
      <alignment horizontal="center"/>
    </xf>
    <xf numFmtId="0" fontId="25" fillId="0" borderId="1" xfId="3" applyFont="1" applyAlignment="1">
      <alignment horizontal="center"/>
    </xf>
    <xf numFmtId="0" fontId="1" fillId="0" borderId="1" xfId="3"/>
  </cellXfs>
  <cellStyles count="4">
    <cellStyle name="Bad" xfId="2" builtinId="27"/>
    <cellStyle name="Normal" xfId="0" builtinId="0"/>
    <cellStyle name="Normal 2" xfId="1"/>
    <cellStyle name="Normal 3" xfId="3"/>
  </cellStyles>
  <dxfs count="21"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b/>
        <sz val="12"/>
        <name val="Aptos Narrow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sz val="12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2"/>
        <color rgb="FF990000"/>
        <name val="Calibri"/>
      </font>
      <fill>
        <patternFill patternType="solid">
          <fgColor rgb="FFFF9999"/>
          <bgColor rgb="FFFF9999"/>
        </patternFill>
      </fill>
    </dxf>
    <dxf>
      <font>
        <b/>
        <sz val="12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C0000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B8000"/>
      </font>
      <fill>
        <patternFill patternType="solid">
          <fgColor rgb="FFFFFACD"/>
          <bgColor rgb="FFFFFACD"/>
        </patternFill>
      </fill>
    </dxf>
    <dxf>
      <font>
        <color rgb="FFCC0000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B8000"/>
      </font>
      <fill>
        <patternFill patternType="solid">
          <fgColor rgb="FFFFFACD"/>
          <bgColor rgb="FFFFFACD"/>
        </patternFill>
      </fill>
    </dxf>
    <dxf>
      <font>
        <color rgb="FFCC0000"/>
      </font>
      <fill>
        <patternFill patternType="solid">
          <fgColor rgb="FFFFCCCC"/>
          <bgColor rgb="FFFFCCCC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sz val="11"/>
        <name val="calibri"/>
      </font>
    </dxf>
    <dxf>
      <font>
        <b/>
        <sz val="11"/>
        <name val="calibri"/>
      </font>
    </dxf>
    <dxf>
      <font>
        <b/>
        <sz val="11"/>
        <color rgb="FF000000"/>
        <name val="calibri"/>
      </font>
      <border>
        <top style="double">
          <color theme="4" tint="0.19998779259620961"/>
        </top>
      </border>
    </dxf>
    <dxf>
      <font>
        <b/>
        <sz val="11"/>
        <color rgb="FFFFFFFF"/>
        <name val="calibri"/>
      </font>
      <fill>
        <patternFill patternType="solid">
          <fgColor theme="4"/>
          <bgColor theme="4"/>
        </patternFill>
      </fill>
    </dxf>
    <dxf>
      <border>
        <left style="thin">
          <color theme="4" tint="0.19998779259620961"/>
        </left>
        <right style="thin">
          <color theme="4" tint="0.19998779259620961"/>
        </right>
        <top style="thin">
          <color theme="4" tint="0.19998779259620961"/>
        </top>
        <bottom style="thin">
          <color theme="4" tint="0.19998779259620961"/>
        </bottom>
        <horizontal style="thin">
          <color theme="4" tint="0.19998779259620961"/>
        </horizontal>
      </border>
    </dxf>
  </dxfs>
  <tableStyles count="1" defaultTableStyle="TableStyleMedium9" defaultPivotStyle="PivotStyleLight16">
    <tableStyle name="CustomTableStyle_InventoryMaster 2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InventoryMaster3" displayName="InventoryMaster3" ref="A1:P188">
  <autoFilter ref="A1:P188"/>
  <tableColumns count="16">
    <tableColumn id="1" name="Item No"/>
    <tableColumn id="2" name="Name" dataDxfId="0"/>
    <tableColumn id="3" name="Total (Current Stock)"/>
    <tableColumn id="4" name="Unit"/>
    <tableColumn id="5" name="Brand"/>
    <tableColumn id="6" name="Material Added"/>
    <tableColumn id="7" name="Material Taken"/>
    <tableColumn id="8" name="Job Number"/>
    <tableColumn id="9" name="Remaining Qty"/>
    <tableColumn id="10" name="Cost Per Item"/>
    <tableColumn id="11" name="Total Value"/>
    <tableColumn id="12" name="Reorder Level"/>
    <tableColumn id="13" name="Reorder Needed"/>
    <tableColumn id="14" name="Last Updated"/>
    <tableColumn id="15" name="Location" dataCellStyle="Normal 2"/>
    <tableColumn id="16" name="Date" dataCellStyle="Normal 2"/>
  </tableColumns>
  <tableStyleInfo name="CustomTableStyle_InventoryMaster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0"/>
  <sheetViews>
    <sheetView tabSelected="1" topLeftCell="A7" zoomScale="90" workbookViewId="0">
      <pane ySplit="4" topLeftCell="A11" activePane="bottomLeft" state="frozen"/>
      <selection activeCell="A7" sqref="A7"/>
      <selection pane="bottomLeft" activeCell="N32" sqref="N32"/>
    </sheetView>
  </sheetViews>
  <sheetFormatPr defaultColWidth="9.140625" defaultRowHeight="15" customHeight="1"/>
  <cols>
    <col min="1" max="1" width="5.7109375" customWidth="1"/>
    <col min="2" max="2" width="41.140625" bestFit="1" customWidth="1"/>
    <col min="3" max="4" width="11.140625" customWidth="1"/>
    <col min="5" max="5" width="15.5703125" customWidth="1"/>
    <col min="6" max="6" width="19.5703125" customWidth="1"/>
    <col min="7" max="7" width="20.140625" customWidth="1"/>
    <col min="8" max="8" width="17.85546875" customWidth="1"/>
    <col min="9" max="9" width="20.7109375" bestFit="1" customWidth="1"/>
  </cols>
  <sheetData>
    <row r="2" spans="1:9" ht="15" customHeight="1">
      <c r="B2" s="1" t="s">
        <v>0</v>
      </c>
      <c r="C2" s="2"/>
      <c r="D2" s="3"/>
      <c r="E2" s="3"/>
      <c r="F2" s="3"/>
      <c r="G2" s="3"/>
      <c r="H2" s="3"/>
    </row>
    <row r="4" spans="1:9" ht="15" customHeight="1">
      <c r="A4" s="66"/>
      <c r="B4" s="4" t="s">
        <v>1</v>
      </c>
      <c r="C4" s="5">
        <f>COUNTA(B11:B200)</f>
        <v>73</v>
      </c>
      <c r="D4" s="6"/>
      <c r="E4" s="66"/>
      <c r="F4" s="66"/>
      <c r="G4" s="66"/>
      <c r="H4" s="66"/>
    </row>
    <row r="5" spans="1:9" ht="15" customHeight="1">
      <c r="A5" s="66"/>
      <c r="B5" s="4" t="s">
        <v>2</v>
      </c>
      <c r="C5" s="5">
        <f>SUMPRODUCT((ISNUMBER(G11:G200))*(IF(ISNUMBER(G11:G200),G11:G200,0)))</f>
        <v>0</v>
      </c>
      <c r="D5" s="6"/>
      <c r="E5" s="66"/>
      <c r="F5" s="66"/>
      <c r="G5" s="66"/>
      <c r="H5" s="66"/>
    </row>
    <row r="6" spans="1:9" ht="15" customHeight="1">
      <c r="A6" s="66"/>
      <c r="B6" s="4" t="s">
        <v>3</v>
      </c>
      <c r="C6" s="5">
        <f>SUMPRODUCT((B11:B200="S1 Warm White 18mm")*(ISNUMBER(G11:G200))*(G11:G200&lt;30))+SUMPRODUCT((B11:B200="18mm Plain")*(ISNUMBER(G11:G200))*(G11:G200&lt;30))+SUMPRODUCT((B11:B200="MR White 18mm")*(ISNUMBER(G11:G200))*(G11:G200&lt;15))+SUMPRODUCT((B11:B200="MR Plain 18mm")*(ISNUMBER(G11:G200))*(G11:G200&lt;15))+SUMPRODUCT((B11:B200="9mm Plain")*(ISNUMBER(G11:G200))*(G11:G200&lt;15))+SUMPRODUCT((B11:B200&lt;&gt;"S1 Warm White 18mm")*(B11:B200&lt;&gt;"18mm Plain")*(B11:B200&lt;&gt;"MR White 18mm")*(B11:B200&lt;&gt;"MR Plain 18mm")*(B11:B200&lt;&gt;"9mm Plain")*(ISNUMBER(G11:G200))*(G11:G200=0))</f>
        <v>1</v>
      </c>
      <c r="D6" s="6"/>
      <c r="E6" s="66"/>
      <c r="F6" s="66"/>
      <c r="G6" s="66"/>
      <c r="H6" s="66"/>
    </row>
    <row r="7" spans="1:9" ht="15" customHeight="1">
      <c r="A7" s="66"/>
      <c r="B7" s="4" t="s">
        <v>4</v>
      </c>
      <c r="C7" s="5">
        <f>SUMPRODUCT((B11:B200="S1 Warm White 18mm")*(ISNUMBER(G11:G200))*(G11:G200&gt;=30)*(G11:G200&lt;=40))+SUMPRODUCT((B11:B200="18mm Plain")*(ISNUMBER(G11:G200))*(G11:G200&gt;=30)*(G11:G200&lt;=40))+SUMPRODUCT((B11:B200="MR White 18mm")*(ISNUMBER(G11:G200))*(G11:G200&gt;=15)*(G11:G200&lt;=20))+SUMPRODUCT((B11:B200="MR Plain 18mm")*(ISNUMBER(G11:G200))*(G11:G200&gt;=15)*(G11:G200&lt;=20))+SUMPRODUCT((B11:B200="9mm Plain")*(ISNUMBER(G11:G200))*(G11:G200&gt;=15)*(G11:G200&lt;=20))</f>
        <v>1</v>
      </c>
      <c r="D7" s="6"/>
      <c r="E7" s="66"/>
      <c r="F7" s="66"/>
      <c r="G7" s="66"/>
      <c r="H7" s="66"/>
    </row>
    <row r="8" spans="1:9" ht="15" customHeight="1">
      <c r="A8" s="66"/>
      <c r="B8" s="4" t="s">
        <v>5</v>
      </c>
      <c r="C8" s="5">
        <f>COUNTIF(H11:H200,"RESTOCK NOW")+COUNTIF(H11:H200,"OUT OF STOCK")</f>
        <v>1</v>
      </c>
      <c r="D8" s="6"/>
      <c r="E8" s="66"/>
      <c r="F8" s="66"/>
      <c r="G8" s="66"/>
      <c r="H8" s="66"/>
    </row>
    <row r="9" spans="1:9" ht="15" customHeight="1">
      <c r="A9" s="66"/>
      <c r="B9" s="4" t="s">
        <v>6</v>
      </c>
      <c r="C9" s="7">
        <f ca="1">TODAY()</f>
        <v>46178</v>
      </c>
      <c r="D9" s="6"/>
      <c r="E9" s="66"/>
      <c r="F9" s="66"/>
      <c r="G9" s="66"/>
      <c r="H9" s="66"/>
    </row>
    <row r="10" spans="1:9" ht="15" customHeight="1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  <c r="I10" s="9" t="s">
        <v>244</v>
      </c>
    </row>
    <row r="11" spans="1:9" ht="15" customHeight="1">
      <c r="A11" s="10">
        <v>1</v>
      </c>
      <c r="B11" s="11" t="s">
        <v>245</v>
      </c>
      <c r="C11" s="22">
        <v>105</v>
      </c>
      <c r="D11" s="11" t="s">
        <v>15</v>
      </c>
      <c r="E11" s="13"/>
      <c r="F11" s="13"/>
      <c r="G11" s="14">
        <f t="shared" ref="G11:G42" si="0">IF(OR(C11="-",C11="N/A",C11=""),"-",C11-IF(E11="",0,E11)+IF(F11="",0,F11))</f>
        <v>105</v>
      </c>
      <c r="H11" s="15" t="str">
        <f t="shared" ref="H11:H42" si="1">IF(OR(G11="-",G11="N/A",G11=""),"N/A",IF(OR(AND(B11="S1 Warm White 18mm",G11&lt;30),AND(B11="18mm Plain",G11&lt;30),AND(B11="MR White 18mm",G11&lt;15),AND(B11="MR Plain 18mm",G11&lt;15),AND(B11="9mm Plain",G11&lt;15)),"RESTOCK NOW",IF(AND(NOT(OR(B11="S1 Warm White 18mm",B11="18mm Plain",B11="MR White 18mm",B11="MR Plain 18mm",B11="9mm Plain")),G11=0),"OUT OF STOCK","OK")))</f>
        <v>OK</v>
      </c>
    </row>
    <row r="12" spans="1:9" ht="15" customHeight="1">
      <c r="A12" s="16">
        <v>2</v>
      </c>
      <c r="B12" s="17" t="s">
        <v>16</v>
      </c>
      <c r="C12" s="18">
        <v>66</v>
      </c>
      <c r="D12" s="17" t="s">
        <v>15</v>
      </c>
      <c r="E12" s="19"/>
      <c r="F12" s="19"/>
      <c r="G12" s="14">
        <f t="shared" si="0"/>
        <v>66</v>
      </c>
      <c r="H12" s="15" t="str">
        <f t="shared" si="1"/>
        <v>OK</v>
      </c>
    </row>
    <row r="13" spans="1:9" ht="15" customHeight="1">
      <c r="A13" s="10">
        <v>3</v>
      </c>
      <c r="B13" s="11" t="s">
        <v>17</v>
      </c>
      <c r="C13" s="22">
        <v>18</v>
      </c>
      <c r="D13" s="11" t="s">
        <v>18</v>
      </c>
      <c r="E13" s="13"/>
      <c r="F13" s="13"/>
      <c r="G13" s="20">
        <f t="shared" si="0"/>
        <v>18</v>
      </c>
      <c r="H13" s="15" t="str">
        <f t="shared" si="1"/>
        <v>OK</v>
      </c>
    </row>
    <row r="14" spans="1:9" ht="15" customHeight="1">
      <c r="A14" s="16">
        <v>4</v>
      </c>
      <c r="B14" s="17" t="s">
        <v>19</v>
      </c>
      <c r="C14" s="18" t="s">
        <v>20</v>
      </c>
      <c r="D14" s="17" t="s">
        <v>20</v>
      </c>
      <c r="E14" s="19"/>
      <c r="F14" s="19"/>
      <c r="G14" s="21" t="str">
        <f t="shared" si="0"/>
        <v>-</v>
      </c>
      <c r="H14" s="22" t="str">
        <f t="shared" si="1"/>
        <v>N/A</v>
      </c>
    </row>
    <row r="15" spans="1:9" ht="15" customHeight="1">
      <c r="A15" s="10">
        <v>5</v>
      </c>
      <c r="B15" s="11" t="s">
        <v>22</v>
      </c>
      <c r="C15" s="22" t="s">
        <v>20</v>
      </c>
      <c r="D15" s="11" t="s">
        <v>20</v>
      </c>
      <c r="E15" s="13"/>
      <c r="F15" s="13"/>
      <c r="G15" s="22" t="str">
        <f t="shared" si="0"/>
        <v>-</v>
      </c>
      <c r="H15" s="22" t="str">
        <f t="shared" si="1"/>
        <v>N/A</v>
      </c>
    </row>
    <row r="16" spans="1:9" ht="15" customHeight="1">
      <c r="A16" s="16">
        <v>6</v>
      </c>
      <c r="B16" s="17" t="s">
        <v>246</v>
      </c>
      <c r="C16" s="18" t="s">
        <v>20</v>
      </c>
      <c r="D16" s="17" t="s">
        <v>20</v>
      </c>
      <c r="E16" s="19"/>
      <c r="F16" s="19"/>
      <c r="G16" s="21" t="str">
        <f t="shared" si="0"/>
        <v>-</v>
      </c>
      <c r="H16" s="22" t="str">
        <f t="shared" si="1"/>
        <v>N/A</v>
      </c>
    </row>
    <row r="17" spans="1:9" ht="15" customHeight="1">
      <c r="A17" s="10">
        <v>7</v>
      </c>
      <c r="B17" s="11" t="s">
        <v>247</v>
      </c>
      <c r="C17" s="12" t="s">
        <v>20</v>
      </c>
      <c r="D17" s="11" t="s">
        <v>20</v>
      </c>
      <c r="E17" s="13"/>
      <c r="F17" s="13"/>
      <c r="G17" s="22" t="str">
        <f t="shared" si="0"/>
        <v>-</v>
      </c>
      <c r="H17" s="22" t="str">
        <f t="shared" si="1"/>
        <v>N/A</v>
      </c>
    </row>
    <row r="18" spans="1:9" ht="15" customHeight="1">
      <c r="A18" s="16">
        <v>8</v>
      </c>
      <c r="B18" s="17" t="s">
        <v>248</v>
      </c>
      <c r="C18" s="18">
        <v>17</v>
      </c>
      <c r="D18" s="17" t="s">
        <v>18</v>
      </c>
      <c r="E18" s="19">
        <v>13</v>
      </c>
      <c r="F18" s="19"/>
      <c r="G18" s="69">
        <f t="shared" si="0"/>
        <v>4</v>
      </c>
      <c r="H18" s="23" t="str">
        <f t="shared" si="1"/>
        <v>OK</v>
      </c>
      <c r="I18" s="71"/>
    </row>
    <row r="19" spans="1:9" ht="15" customHeight="1">
      <c r="A19" s="10">
        <v>9</v>
      </c>
      <c r="B19" s="11" t="s">
        <v>249</v>
      </c>
      <c r="C19" s="12">
        <v>8</v>
      </c>
      <c r="D19" s="11" t="s">
        <v>23</v>
      </c>
      <c r="E19" s="13"/>
      <c r="F19" s="13"/>
      <c r="G19" s="14">
        <f t="shared" si="0"/>
        <v>8</v>
      </c>
      <c r="H19" s="15" t="str">
        <f t="shared" si="1"/>
        <v>OK</v>
      </c>
    </row>
    <row r="20" spans="1:9" ht="15" customHeight="1">
      <c r="A20" s="16">
        <v>10</v>
      </c>
      <c r="B20" s="17" t="s">
        <v>250</v>
      </c>
      <c r="C20" s="18">
        <v>10</v>
      </c>
      <c r="D20" s="17" t="s">
        <v>20</v>
      </c>
      <c r="E20" s="19"/>
      <c r="F20" s="19"/>
      <c r="G20" s="15">
        <f t="shared" si="0"/>
        <v>10</v>
      </c>
      <c r="H20" s="15" t="str">
        <f t="shared" si="1"/>
        <v>OK</v>
      </c>
    </row>
    <row r="21" spans="1:9" ht="15" customHeight="1">
      <c r="A21" s="10">
        <v>11</v>
      </c>
      <c r="B21" s="11" t="s">
        <v>251</v>
      </c>
      <c r="C21" s="22">
        <v>23</v>
      </c>
      <c r="D21" s="11" t="s">
        <v>18</v>
      </c>
      <c r="E21" s="13">
        <v>3</v>
      </c>
      <c r="F21" s="13"/>
      <c r="G21" s="15">
        <f t="shared" si="0"/>
        <v>20</v>
      </c>
      <c r="H21" s="15" t="str">
        <f t="shared" si="1"/>
        <v>OK</v>
      </c>
    </row>
    <row r="22" spans="1:9" ht="15" customHeight="1">
      <c r="A22" s="16">
        <v>12</v>
      </c>
      <c r="B22" s="17" t="s">
        <v>252</v>
      </c>
      <c r="C22" s="18">
        <v>18</v>
      </c>
      <c r="D22" s="17" t="s">
        <v>23</v>
      </c>
      <c r="E22" s="19"/>
      <c r="F22" s="19"/>
      <c r="G22" s="14">
        <f t="shared" si="0"/>
        <v>18</v>
      </c>
      <c r="H22" s="15" t="str">
        <f t="shared" si="1"/>
        <v>OK</v>
      </c>
    </row>
    <row r="23" spans="1:9" ht="15" customHeight="1">
      <c r="A23" s="10">
        <v>13</v>
      </c>
      <c r="B23" s="11" t="s">
        <v>253</v>
      </c>
      <c r="C23" s="22">
        <v>25</v>
      </c>
      <c r="D23" s="11" t="s">
        <v>23</v>
      </c>
      <c r="E23" s="13"/>
      <c r="F23" s="13"/>
      <c r="G23" s="14">
        <f t="shared" si="0"/>
        <v>25</v>
      </c>
      <c r="H23" s="15" t="str">
        <f t="shared" si="1"/>
        <v>OK</v>
      </c>
    </row>
    <row r="24" spans="1:9" ht="15" customHeight="1">
      <c r="A24" s="16">
        <v>14</v>
      </c>
      <c r="B24" s="17" t="s">
        <v>254</v>
      </c>
      <c r="C24" s="18">
        <v>2</v>
      </c>
      <c r="D24" s="17" t="s">
        <v>24</v>
      </c>
      <c r="E24" s="19"/>
      <c r="F24" s="19"/>
      <c r="G24" s="14">
        <f t="shared" si="0"/>
        <v>2</v>
      </c>
      <c r="H24" s="15" t="str">
        <f t="shared" si="1"/>
        <v>OK</v>
      </c>
    </row>
    <row r="25" spans="1:9" ht="15" customHeight="1">
      <c r="A25" s="10">
        <v>15</v>
      </c>
      <c r="B25" s="11" t="s">
        <v>255</v>
      </c>
      <c r="C25" s="22">
        <v>2</v>
      </c>
      <c r="D25" s="11" t="s">
        <v>23</v>
      </c>
      <c r="E25" s="13"/>
      <c r="F25" s="13"/>
      <c r="G25" s="14">
        <f t="shared" si="0"/>
        <v>2</v>
      </c>
      <c r="H25" s="15" t="str">
        <f t="shared" si="1"/>
        <v>OK</v>
      </c>
    </row>
    <row r="26" spans="1:9" ht="15" customHeight="1">
      <c r="A26" s="16">
        <v>16</v>
      </c>
      <c r="B26" s="17" t="s">
        <v>25</v>
      </c>
      <c r="C26" s="18">
        <v>4</v>
      </c>
      <c r="D26" s="17" t="s">
        <v>23</v>
      </c>
      <c r="E26" s="19"/>
      <c r="F26" s="19"/>
      <c r="G26" s="14">
        <f t="shared" si="0"/>
        <v>4</v>
      </c>
      <c r="H26" s="15" t="str">
        <f t="shared" si="1"/>
        <v>OK</v>
      </c>
    </row>
    <row r="27" spans="1:9" ht="15" customHeight="1">
      <c r="A27" s="10">
        <v>17</v>
      </c>
      <c r="B27" s="11" t="s">
        <v>256</v>
      </c>
      <c r="C27" s="22">
        <v>1</v>
      </c>
      <c r="D27" s="11" t="s">
        <v>23</v>
      </c>
      <c r="E27" s="13"/>
      <c r="F27" s="13"/>
      <c r="G27" s="14">
        <f t="shared" si="0"/>
        <v>1</v>
      </c>
      <c r="H27" s="15" t="str">
        <f t="shared" si="1"/>
        <v>OK</v>
      </c>
    </row>
    <row r="28" spans="1:9" ht="15" customHeight="1">
      <c r="A28" s="16">
        <v>18</v>
      </c>
      <c r="B28" s="17" t="s">
        <v>257</v>
      </c>
      <c r="C28" s="18">
        <v>1</v>
      </c>
      <c r="D28" s="17" t="s">
        <v>23</v>
      </c>
      <c r="E28" s="19"/>
      <c r="F28" s="19"/>
      <c r="G28" s="14">
        <f t="shared" si="0"/>
        <v>1</v>
      </c>
      <c r="H28" s="15" t="str">
        <f t="shared" si="1"/>
        <v>OK</v>
      </c>
    </row>
    <row r="29" spans="1:9" ht="15" customHeight="1">
      <c r="A29" s="10">
        <v>19</v>
      </c>
      <c r="B29" s="11" t="s">
        <v>258</v>
      </c>
      <c r="C29" s="12">
        <v>2</v>
      </c>
      <c r="D29" s="11" t="s">
        <v>23</v>
      </c>
      <c r="E29" s="13"/>
      <c r="F29" s="13"/>
      <c r="G29" s="14">
        <f t="shared" si="0"/>
        <v>2</v>
      </c>
      <c r="H29" s="15" t="str">
        <f t="shared" si="1"/>
        <v>OK</v>
      </c>
    </row>
    <row r="30" spans="1:9" ht="15" customHeight="1">
      <c r="A30" s="16">
        <v>20</v>
      </c>
      <c r="B30" s="17" t="s">
        <v>259</v>
      </c>
      <c r="C30" s="18">
        <v>1</v>
      </c>
      <c r="D30" s="17" t="s">
        <v>23</v>
      </c>
      <c r="E30" s="19"/>
      <c r="F30" s="19"/>
      <c r="G30" s="14">
        <f t="shared" si="0"/>
        <v>1</v>
      </c>
      <c r="H30" s="15" t="str">
        <f t="shared" si="1"/>
        <v>OK</v>
      </c>
    </row>
    <row r="31" spans="1:9" ht="15" customHeight="1">
      <c r="A31" s="10">
        <v>21</v>
      </c>
      <c r="B31" s="11" t="s">
        <v>260</v>
      </c>
      <c r="C31" s="22">
        <v>1</v>
      </c>
      <c r="D31" s="11" t="s">
        <v>23</v>
      </c>
      <c r="E31" s="13"/>
      <c r="F31" s="13"/>
      <c r="G31" s="15">
        <f t="shared" si="0"/>
        <v>1</v>
      </c>
      <c r="H31" s="15" t="str">
        <f t="shared" si="1"/>
        <v>OK</v>
      </c>
    </row>
    <row r="32" spans="1:9" ht="15" customHeight="1">
      <c r="A32" s="16">
        <v>22</v>
      </c>
      <c r="B32" s="17" t="s">
        <v>261</v>
      </c>
      <c r="C32" s="18">
        <v>2</v>
      </c>
      <c r="D32" s="17" t="s">
        <v>23</v>
      </c>
      <c r="E32" s="19"/>
      <c r="F32" s="19"/>
      <c r="G32" s="14">
        <f t="shared" si="0"/>
        <v>2</v>
      </c>
      <c r="H32" s="15" t="str">
        <f t="shared" si="1"/>
        <v>OK</v>
      </c>
    </row>
    <row r="33" spans="1:8" ht="15" customHeight="1">
      <c r="A33" s="10">
        <v>23</v>
      </c>
      <c r="B33" s="11" t="s">
        <v>262</v>
      </c>
      <c r="C33" s="22" t="s">
        <v>20</v>
      </c>
      <c r="D33" s="11" t="s">
        <v>20</v>
      </c>
      <c r="E33" s="13"/>
      <c r="F33" s="13"/>
      <c r="G33" s="22" t="str">
        <f t="shared" si="0"/>
        <v>-</v>
      </c>
      <c r="H33" s="22" t="str">
        <f t="shared" si="1"/>
        <v>N/A</v>
      </c>
    </row>
    <row r="34" spans="1:8" ht="15" customHeight="1">
      <c r="A34" s="16">
        <v>24</v>
      </c>
      <c r="B34" s="17" t="s">
        <v>263</v>
      </c>
      <c r="C34" s="18">
        <v>1</v>
      </c>
      <c r="D34" s="17" t="s">
        <v>23</v>
      </c>
      <c r="E34" s="19"/>
      <c r="F34" s="19"/>
      <c r="G34" s="15">
        <f t="shared" si="0"/>
        <v>1</v>
      </c>
      <c r="H34" s="15" t="str">
        <f t="shared" si="1"/>
        <v>OK</v>
      </c>
    </row>
    <row r="35" spans="1:8" ht="15" customHeight="1">
      <c r="A35" s="10">
        <v>25</v>
      </c>
      <c r="B35" s="11" t="s">
        <v>264</v>
      </c>
      <c r="C35" s="22">
        <v>2</v>
      </c>
      <c r="D35" s="11" t="s">
        <v>23</v>
      </c>
      <c r="E35" s="13"/>
      <c r="F35" s="13"/>
      <c r="G35" s="15">
        <f t="shared" si="0"/>
        <v>2</v>
      </c>
      <c r="H35" s="15" t="str">
        <f t="shared" si="1"/>
        <v>OK</v>
      </c>
    </row>
    <row r="36" spans="1:8" ht="15" customHeight="1">
      <c r="A36" s="16">
        <v>26</v>
      </c>
      <c r="B36" s="17" t="s">
        <v>265</v>
      </c>
      <c r="C36" s="18" t="s">
        <v>20</v>
      </c>
      <c r="D36" s="17" t="s">
        <v>20</v>
      </c>
      <c r="E36" s="19"/>
      <c r="F36" s="19"/>
      <c r="G36" s="21" t="str">
        <f t="shared" si="0"/>
        <v>-</v>
      </c>
      <c r="H36" s="22" t="str">
        <f t="shared" si="1"/>
        <v>N/A</v>
      </c>
    </row>
    <row r="37" spans="1:8" ht="15" customHeight="1">
      <c r="A37" s="10">
        <v>27</v>
      </c>
      <c r="B37" s="11" t="s">
        <v>266</v>
      </c>
      <c r="C37" s="22">
        <v>8</v>
      </c>
      <c r="D37" s="11" t="s">
        <v>26</v>
      </c>
      <c r="E37" s="13"/>
      <c r="F37" s="13"/>
      <c r="G37" s="14">
        <f t="shared" si="0"/>
        <v>8</v>
      </c>
      <c r="H37" s="15" t="str">
        <f t="shared" si="1"/>
        <v>OK</v>
      </c>
    </row>
    <row r="38" spans="1:8" ht="15" customHeight="1">
      <c r="A38" s="16">
        <v>28</v>
      </c>
      <c r="B38" s="17" t="s">
        <v>267</v>
      </c>
      <c r="C38" s="18">
        <v>3</v>
      </c>
      <c r="D38" s="17" t="s">
        <v>26</v>
      </c>
      <c r="E38" s="19"/>
      <c r="F38" s="19"/>
      <c r="G38" s="14">
        <f t="shared" si="0"/>
        <v>3</v>
      </c>
      <c r="H38" s="15" t="str">
        <f t="shared" si="1"/>
        <v>OK</v>
      </c>
    </row>
    <row r="39" spans="1:8" ht="15" customHeight="1">
      <c r="A39" s="10">
        <v>29</v>
      </c>
      <c r="B39" s="11" t="s">
        <v>268</v>
      </c>
      <c r="C39" s="12">
        <v>1</v>
      </c>
      <c r="D39" s="11" t="s">
        <v>23</v>
      </c>
      <c r="E39" s="13"/>
      <c r="F39" s="13"/>
      <c r="G39" s="14">
        <f t="shared" si="0"/>
        <v>1</v>
      </c>
      <c r="H39" s="15" t="str">
        <f t="shared" si="1"/>
        <v>OK</v>
      </c>
    </row>
    <row r="40" spans="1:8" ht="15" customHeight="1">
      <c r="A40" s="16">
        <v>30</v>
      </c>
      <c r="B40" s="17" t="s">
        <v>269</v>
      </c>
      <c r="C40" s="18">
        <v>3</v>
      </c>
      <c r="D40" s="17" t="s">
        <v>23</v>
      </c>
      <c r="E40" s="19"/>
      <c r="F40" s="19"/>
      <c r="G40" s="15">
        <f t="shared" si="0"/>
        <v>3</v>
      </c>
      <c r="H40" s="15" t="str">
        <f t="shared" si="1"/>
        <v>OK</v>
      </c>
    </row>
    <row r="41" spans="1:8" ht="15" customHeight="1">
      <c r="A41" s="10">
        <v>31</v>
      </c>
      <c r="B41" s="11" t="s">
        <v>270</v>
      </c>
      <c r="C41" s="12">
        <v>1</v>
      </c>
      <c r="D41" s="11" t="s">
        <v>24</v>
      </c>
      <c r="E41" s="13"/>
      <c r="F41" s="13"/>
      <c r="G41" s="15">
        <f t="shared" si="0"/>
        <v>1</v>
      </c>
      <c r="H41" s="15" t="str">
        <f t="shared" si="1"/>
        <v>OK</v>
      </c>
    </row>
    <row r="42" spans="1:8" ht="15" customHeight="1">
      <c r="A42" s="16">
        <v>32</v>
      </c>
      <c r="B42" s="17" t="s">
        <v>271</v>
      </c>
      <c r="C42" s="18">
        <v>1</v>
      </c>
      <c r="D42" s="17" t="s">
        <v>20</v>
      </c>
      <c r="E42" s="19"/>
      <c r="F42" s="19"/>
      <c r="G42" s="14">
        <f t="shared" si="0"/>
        <v>1</v>
      </c>
      <c r="H42" s="15" t="str">
        <f t="shared" si="1"/>
        <v>OK</v>
      </c>
    </row>
    <row r="43" spans="1:8" ht="15" customHeight="1">
      <c r="A43" s="10">
        <v>33</v>
      </c>
      <c r="B43" s="11" t="s">
        <v>27</v>
      </c>
      <c r="C43" s="12" t="s">
        <v>21</v>
      </c>
      <c r="D43" s="11" t="s">
        <v>24</v>
      </c>
      <c r="E43" s="13"/>
      <c r="F43" s="13"/>
      <c r="G43" s="22" t="str">
        <f t="shared" ref="G43:G74" si="2">IF(OR(C43="-",C43="N/A",C43=""),"-",C43-IF(E43="",0,E43)+IF(F43="",0,F43))</f>
        <v>-</v>
      </c>
      <c r="H43" s="12" t="str">
        <f t="shared" ref="H43:H74" si="3">IF(OR(G43="-",G43="N/A",G43=""),"N/A",IF(OR(AND(B43="S1 Warm White 18mm",G43&lt;30),AND(B43="18mm Plain",G43&lt;30),AND(B43="MR White 18mm",G43&lt;15),AND(B43="MR Plain 18mm",G43&lt;15),AND(B43="9mm Plain",G43&lt;15)),"RESTOCK NOW",IF(AND(NOT(OR(B43="S1 Warm White 18mm",B43="18mm Plain",B43="MR White 18mm",B43="MR Plain 18mm",B43="9mm Plain")),G43=0),"OUT OF STOCK","OK")))</f>
        <v>N/A</v>
      </c>
    </row>
    <row r="44" spans="1:8" ht="15" customHeight="1">
      <c r="A44" s="16">
        <v>34</v>
      </c>
      <c r="B44" s="17" t="s">
        <v>28</v>
      </c>
      <c r="C44" s="18">
        <v>1</v>
      </c>
      <c r="D44" s="17" t="s">
        <v>24</v>
      </c>
      <c r="E44" s="19"/>
      <c r="F44" s="19"/>
      <c r="G44" s="14">
        <f t="shared" si="2"/>
        <v>1</v>
      </c>
      <c r="H44" s="15" t="str">
        <f t="shared" si="3"/>
        <v>OK</v>
      </c>
    </row>
    <row r="45" spans="1:8" ht="15" customHeight="1">
      <c r="A45" s="10">
        <v>35</v>
      </c>
      <c r="B45" s="11" t="s">
        <v>272</v>
      </c>
      <c r="C45" s="22" t="s">
        <v>20</v>
      </c>
      <c r="D45" s="11" t="s">
        <v>20</v>
      </c>
      <c r="E45" s="13"/>
      <c r="F45" s="13"/>
      <c r="G45" s="22" t="str">
        <f t="shared" si="2"/>
        <v>-</v>
      </c>
      <c r="H45" s="22" t="str">
        <f t="shared" si="3"/>
        <v>N/A</v>
      </c>
    </row>
    <row r="46" spans="1:8" ht="15" customHeight="1">
      <c r="A46" s="16">
        <v>36</v>
      </c>
      <c r="B46" s="17" t="s">
        <v>29</v>
      </c>
      <c r="C46" s="18">
        <v>1</v>
      </c>
      <c r="D46" s="17" t="s">
        <v>24</v>
      </c>
      <c r="E46" s="19"/>
      <c r="F46" s="19"/>
      <c r="G46" s="15">
        <f t="shared" si="2"/>
        <v>1</v>
      </c>
      <c r="H46" s="15" t="str">
        <f t="shared" si="3"/>
        <v>OK</v>
      </c>
    </row>
    <row r="47" spans="1:8" ht="15" customHeight="1">
      <c r="A47" s="10">
        <v>37</v>
      </c>
      <c r="B47" s="11" t="s">
        <v>273</v>
      </c>
      <c r="C47" s="22">
        <v>2</v>
      </c>
      <c r="D47" s="11" t="s">
        <v>24</v>
      </c>
      <c r="E47" s="13"/>
      <c r="F47" s="13"/>
      <c r="G47" s="15">
        <f t="shared" si="2"/>
        <v>2</v>
      </c>
      <c r="H47" s="15" t="str">
        <f t="shared" si="3"/>
        <v>OK</v>
      </c>
    </row>
    <row r="48" spans="1:8" ht="15" customHeight="1">
      <c r="A48" s="16">
        <v>38</v>
      </c>
      <c r="B48" s="17" t="s">
        <v>274</v>
      </c>
      <c r="C48" s="18">
        <v>2</v>
      </c>
      <c r="D48" s="17" t="s">
        <v>24</v>
      </c>
      <c r="E48" s="19"/>
      <c r="F48" s="19"/>
      <c r="G48" s="15">
        <f t="shared" si="2"/>
        <v>2</v>
      </c>
      <c r="H48" s="15" t="str">
        <f t="shared" si="3"/>
        <v>OK</v>
      </c>
    </row>
    <row r="49" spans="1:8" ht="15" customHeight="1">
      <c r="A49" s="10">
        <v>39</v>
      </c>
      <c r="B49" s="11" t="s">
        <v>275</v>
      </c>
      <c r="C49" s="22">
        <v>1</v>
      </c>
      <c r="D49" s="11" t="s">
        <v>24</v>
      </c>
      <c r="E49" s="13"/>
      <c r="F49" s="13"/>
      <c r="G49" s="14">
        <f t="shared" si="2"/>
        <v>1</v>
      </c>
      <c r="H49" s="15" t="str">
        <f t="shared" si="3"/>
        <v>OK</v>
      </c>
    </row>
    <row r="50" spans="1:8" ht="15" customHeight="1">
      <c r="A50" s="16">
        <v>40</v>
      </c>
      <c r="B50" s="17" t="s">
        <v>30</v>
      </c>
      <c r="C50" s="18">
        <v>1</v>
      </c>
      <c r="D50" s="17" t="s">
        <v>20</v>
      </c>
      <c r="E50" s="19"/>
      <c r="F50" s="19"/>
      <c r="G50" s="15">
        <f t="shared" si="2"/>
        <v>1</v>
      </c>
      <c r="H50" s="15" t="str">
        <f t="shared" si="3"/>
        <v>OK</v>
      </c>
    </row>
    <row r="51" spans="1:8" ht="15" customHeight="1">
      <c r="A51" s="10">
        <v>41</v>
      </c>
      <c r="B51" s="11" t="s">
        <v>31</v>
      </c>
      <c r="C51" s="22" t="s">
        <v>20</v>
      </c>
      <c r="D51" s="11" t="s">
        <v>20</v>
      </c>
      <c r="E51" s="13"/>
      <c r="F51" s="13"/>
      <c r="G51" s="22" t="str">
        <f t="shared" si="2"/>
        <v>-</v>
      </c>
      <c r="H51" s="22" t="str">
        <f t="shared" si="3"/>
        <v>N/A</v>
      </c>
    </row>
    <row r="52" spans="1:8" ht="15" customHeight="1">
      <c r="A52" s="16">
        <v>42</v>
      </c>
      <c r="B52" s="17" t="s">
        <v>32</v>
      </c>
      <c r="C52" s="18">
        <v>2</v>
      </c>
      <c r="D52" s="17" t="s">
        <v>24</v>
      </c>
      <c r="E52" s="19"/>
      <c r="F52" s="19"/>
      <c r="G52" s="14">
        <f t="shared" si="2"/>
        <v>2</v>
      </c>
      <c r="H52" s="15" t="str">
        <f t="shared" si="3"/>
        <v>OK</v>
      </c>
    </row>
    <row r="53" spans="1:8" ht="15" customHeight="1">
      <c r="A53" s="10">
        <v>43</v>
      </c>
      <c r="B53" s="11" t="s">
        <v>33</v>
      </c>
      <c r="C53" s="22">
        <v>1</v>
      </c>
      <c r="D53" s="11" t="s">
        <v>24</v>
      </c>
      <c r="E53" s="13"/>
      <c r="F53" s="13"/>
      <c r="G53" s="15">
        <f t="shared" si="2"/>
        <v>1</v>
      </c>
      <c r="H53" s="15" t="str">
        <f t="shared" si="3"/>
        <v>OK</v>
      </c>
    </row>
    <row r="54" spans="1:8" ht="15" customHeight="1">
      <c r="A54" s="16">
        <v>44</v>
      </c>
      <c r="B54" s="17" t="s">
        <v>276</v>
      </c>
      <c r="C54" s="18">
        <v>2</v>
      </c>
      <c r="D54" s="17" t="s">
        <v>24</v>
      </c>
      <c r="E54" s="19"/>
      <c r="F54" s="19"/>
      <c r="G54" s="15">
        <f t="shared" si="2"/>
        <v>2</v>
      </c>
      <c r="H54" s="15" t="str">
        <f t="shared" si="3"/>
        <v>OK</v>
      </c>
    </row>
    <row r="55" spans="1:8" ht="15" customHeight="1">
      <c r="A55" s="10">
        <v>45</v>
      </c>
      <c r="B55" s="11" t="s">
        <v>277</v>
      </c>
      <c r="C55" s="22">
        <v>1</v>
      </c>
      <c r="D55" s="11" t="s">
        <v>24</v>
      </c>
      <c r="E55" s="13"/>
      <c r="F55" s="13"/>
      <c r="G55" s="14">
        <f t="shared" si="2"/>
        <v>1</v>
      </c>
      <c r="H55" s="15" t="str">
        <f t="shared" si="3"/>
        <v>OK</v>
      </c>
    </row>
    <row r="56" spans="1:8" ht="15" customHeight="1">
      <c r="A56" s="16">
        <v>46</v>
      </c>
      <c r="B56" s="17" t="s">
        <v>278</v>
      </c>
      <c r="C56" s="18">
        <v>3</v>
      </c>
      <c r="D56" s="17" t="s">
        <v>24</v>
      </c>
      <c r="E56" s="19"/>
      <c r="F56" s="19"/>
      <c r="G56" s="15">
        <f t="shared" si="2"/>
        <v>3</v>
      </c>
      <c r="H56" s="15" t="str">
        <f t="shared" si="3"/>
        <v>OK</v>
      </c>
    </row>
    <row r="57" spans="1:8" ht="15" customHeight="1">
      <c r="A57" s="10">
        <v>47</v>
      </c>
      <c r="B57" s="11" t="s">
        <v>279</v>
      </c>
      <c r="C57" s="22">
        <v>1</v>
      </c>
      <c r="D57" s="11" t="s">
        <v>24</v>
      </c>
      <c r="E57" s="13"/>
      <c r="F57" s="13"/>
      <c r="G57" s="15">
        <f t="shared" si="2"/>
        <v>1</v>
      </c>
      <c r="H57" s="15" t="str">
        <f t="shared" si="3"/>
        <v>OK</v>
      </c>
    </row>
    <row r="58" spans="1:8" ht="15" customHeight="1">
      <c r="A58" s="16">
        <v>48</v>
      </c>
      <c r="B58" s="17" t="s">
        <v>34</v>
      </c>
      <c r="C58" s="18">
        <v>3</v>
      </c>
      <c r="D58" s="17" t="s">
        <v>24</v>
      </c>
      <c r="E58" s="19"/>
      <c r="F58" s="19"/>
      <c r="G58" s="15">
        <f t="shared" si="2"/>
        <v>3</v>
      </c>
      <c r="H58" s="15" t="str">
        <f t="shared" si="3"/>
        <v>OK</v>
      </c>
    </row>
    <row r="59" spans="1:8" ht="15" customHeight="1">
      <c r="A59" s="10">
        <v>49</v>
      </c>
      <c r="B59" s="11" t="s">
        <v>35</v>
      </c>
      <c r="C59" s="22">
        <v>5</v>
      </c>
      <c r="D59" s="11" t="s">
        <v>24</v>
      </c>
      <c r="E59" s="13"/>
      <c r="F59" s="13"/>
      <c r="G59" s="14">
        <f t="shared" si="2"/>
        <v>5</v>
      </c>
      <c r="H59" s="15" t="str">
        <f t="shared" si="3"/>
        <v>OK</v>
      </c>
    </row>
    <row r="60" spans="1:8" ht="15" customHeight="1">
      <c r="A60" s="16">
        <v>50</v>
      </c>
      <c r="B60" s="17" t="s">
        <v>280</v>
      </c>
      <c r="C60" s="18">
        <v>4</v>
      </c>
      <c r="D60" s="17" t="s">
        <v>24</v>
      </c>
      <c r="E60" s="19"/>
      <c r="F60" s="19"/>
      <c r="G60" s="15">
        <f t="shared" si="2"/>
        <v>4</v>
      </c>
      <c r="H60" s="15" t="str">
        <f t="shared" si="3"/>
        <v>OK</v>
      </c>
    </row>
    <row r="61" spans="1:8" ht="15" customHeight="1">
      <c r="A61" s="10">
        <v>51</v>
      </c>
      <c r="B61" s="11" t="s">
        <v>281</v>
      </c>
      <c r="C61" s="22">
        <v>1</v>
      </c>
      <c r="D61" s="11" t="s">
        <v>24</v>
      </c>
      <c r="E61" s="13"/>
      <c r="F61" s="13"/>
      <c r="G61" s="14">
        <f t="shared" si="2"/>
        <v>1</v>
      </c>
      <c r="H61" s="15" t="str">
        <f t="shared" si="3"/>
        <v>OK</v>
      </c>
    </row>
    <row r="62" spans="1:8" ht="15" customHeight="1">
      <c r="A62" s="16">
        <v>52</v>
      </c>
      <c r="B62" s="17" t="s">
        <v>282</v>
      </c>
      <c r="C62" s="18">
        <v>1</v>
      </c>
      <c r="D62" s="17" t="s">
        <v>24</v>
      </c>
      <c r="E62" s="19"/>
      <c r="F62" s="19"/>
      <c r="G62" s="14">
        <f t="shared" si="2"/>
        <v>1</v>
      </c>
      <c r="H62" s="15" t="str">
        <f t="shared" si="3"/>
        <v>OK</v>
      </c>
    </row>
    <row r="63" spans="1:8" ht="15" customHeight="1">
      <c r="A63" s="10">
        <v>53</v>
      </c>
      <c r="B63" s="11" t="s">
        <v>283</v>
      </c>
      <c r="C63" s="12">
        <v>3</v>
      </c>
      <c r="D63" s="11" t="s">
        <v>24</v>
      </c>
      <c r="E63" s="13"/>
      <c r="F63" s="13"/>
      <c r="G63" s="14">
        <f t="shared" si="2"/>
        <v>3</v>
      </c>
      <c r="H63" s="15" t="str">
        <f t="shared" si="3"/>
        <v>OK</v>
      </c>
    </row>
    <row r="64" spans="1:8" ht="15" customHeight="1">
      <c r="A64" s="16">
        <v>54</v>
      </c>
      <c r="B64" s="17" t="s">
        <v>36</v>
      </c>
      <c r="C64" s="18">
        <v>1</v>
      </c>
      <c r="D64" s="17" t="s">
        <v>24</v>
      </c>
      <c r="E64" s="19"/>
      <c r="F64" s="19"/>
      <c r="G64" s="14">
        <f t="shared" si="2"/>
        <v>1</v>
      </c>
      <c r="H64" s="15" t="str">
        <f t="shared" si="3"/>
        <v>OK</v>
      </c>
    </row>
    <row r="65" spans="1:8" ht="15" customHeight="1">
      <c r="A65" s="10">
        <v>55</v>
      </c>
      <c r="B65" s="11" t="s">
        <v>37</v>
      </c>
      <c r="C65" s="12">
        <v>1</v>
      </c>
      <c r="D65" s="11" t="s">
        <v>24</v>
      </c>
      <c r="E65" s="13"/>
      <c r="F65" s="13"/>
      <c r="G65" s="14">
        <f t="shared" si="2"/>
        <v>1</v>
      </c>
      <c r="H65" s="15" t="str">
        <f t="shared" si="3"/>
        <v>OK</v>
      </c>
    </row>
    <row r="66" spans="1:8" ht="15" customHeight="1">
      <c r="A66" s="16">
        <v>56</v>
      </c>
      <c r="B66" s="17" t="s">
        <v>38</v>
      </c>
      <c r="C66" s="18">
        <v>1</v>
      </c>
      <c r="D66" s="17" t="s">
        <v>24</v>
      </c>
      <c r="E66" s="19"/>
      <c r="F66" s="19"/>
      <c r="G66" s="14">
        <f t="shared" si="2"/>
        <v>1</v>
      </c>
      <c r="H66" s="15" t="str">
        <f t="shared" si="3"/>
        <v>OK</v>
      </c>
    </row>
    <row r="67" spans="1:8" ht="15" customHeight="1">
      <c r="A67" s="10">
        <v>57</v>
      </c>
      <c r="B67" s="11" t="s">
        <v>284</v>
      </c>
      <c r="C67" s="22">
        <v>1</v>
      </c>
      <c r="D67" s="11" t="s">
        <v>24</v>
      </c>
      <c r="E67" s="13"/>
      <c r="F67" s="13"/>
      <c r="G67" s="14">
        <f t="shared" si="2"/>
        <v>1</v>
      </c>
      <c r="H67" s="15" t="str">
        <f t="shared" si="3"/>
        <v>OK</v>
      </c>
    </row>
    <row r="68" spans="1:8" ht="15" customHeight="1">
      <c r="A68" s="16">
        <v>58</v>
      </c>
      <c r="B68" s="17" t="s">
        <v>285</v>
      </c>
      <c r="C68" s="18">
        <v>1</v>
      </c>
      <c r="D68" s="17" t="s">
        <v>24</v>
      </c>
      <c r="E68" s="19"/>
      <c r="F68" s="19"/>
      <c r="G68" s="15">
        <f t="shared" si="2"/>
        <v>1</v>
      </c>
      <c r="H68" s="15" t="str">
        <f t="shared" si="3"/>
        <v>OK</v>
      </c>
    </row>
    <row r="69" spans="1:8" ht="15" customHeight="1">
      <c r="A69" s="10">
        <v>59</v>
      </c>
      <c r="B69" s="11" t="s">
        <v>286</v>
      </c>
      <c r="C69" s="22">
        <v>1</v>
      </c>
      <c r="D69" s="11" t="s">
        <v>24</v>
      </c>
      <c r="E69" s="13"/>
      <c r="F69" s="13"/>
      <c r="G69" s="15">
        <f t="shared" si="2"/>
        <v>1</v>
      </c>
      <c r="H69" s="15" t="str">
        <f t="shared" si="3"/>
        <v>OK</v>
      </c>
    </row>
    <row r="70" spans="1:8" ht="15" customHeight="1">
      <c r="A70" s="16">
        <v>60</v>
      </c>
      <c r="B70" s="17" t="s">
        <v>287</v>
      </c>
      <c r="C70" s="18">
        <v>1</v>
      </c>
      <c r="D70" s="17" t="s">
        <v>24</v>
      </c>
      <c r="E70" s="19"/>
      <c r="F70" s="19"/>
      <c r="G70" s="15">
        <f t="shared" si="2"/>
        <v>1</v>
      </c>
      <c r="H70" s="15" t="str">
        <f t="shared" si="3"/>
        <v>OK</v>
      </c>
    </row>
    <row r="71" spans="1:8" ht="15" customHeight="1">
      <c r="A71" s="10">
        <v>61</v>
      </c>
      <c r="B71" s="11" t="s">
        <v>288</v>
      </c>
      <c r="C71" s="22">
        <v>5</v>
      </c>
      <c r="D71" s="11" t="s">
        <v>24</v>
      </c>
      <c r="E71" s="13"/>
      <c r="F71" s="13"/>
      <c r="G71" s="15">
        <f t="shared" si="2"/>
        <v>5</v>
      </c>
      <c r="H71" s="15" t="str">
        <f t="shared" si="3"/>
        <v>OK</v>
      </c>
    </row>
    <row r="72" spans="1:8" ht="15" customHeight="1">
      <c r="A72" s="16">
        <v>62</v>
      </c>
      <c r="B72" s="17" t="s">
        <v>289</v>
      </c>
      <c r="C72" s="18">
        <v>4</v>
      </c>
      <c r="D72" s="17" t="s">
        <v>23</v>
      </c>
      <c r="E72" s="19"/>
      <c r="F72" s="19"/>
      <c r="G72" s="15">
        <f t="shared" si="2"/>
        <v>4</v>
      </c>
      <c r="H72" s="15" t="str">
        <f t="shared" si="3"/>
        <v>OK</v>
      </c>
    </row>
    <row r="73" spans="1:8" ht="15" customHeight="1">
      <c r="A73" s="10">
        <v>63</v>
      </c>
      <c r="B73" s="11" t="s">
        <v>262</v>
      </c>
      <c r="C73" s="12">
        <v>2</v>
      </c>
      <c r="D73" s="11" t="s">
        <v>23</v>
      </c>
      <c r="E73" s="13"/>
      <c r="F73" s="13"/>
      <c r="G73" s="15">
        <f t="shared" si="2"/>
        <v>2</v>
      </c>
      <c r="H73" s="15" t="str">
        <f t="shared" si="3"/>
        <v>OK</v>
      </c>
    </row>
    <row r="74" spans="1:8" ht="15" customHeight="1">
      <c r="A74" s="16">
        <v>64</v>
      </c>
      <c r="B74" s="17" t="s">
        <v>280</v>
      </c>
      <c r="C74" s="18">
        <v>4</v>
      </c>
      <c r="D74" s="17" t="s">
        <v>24</v>
      </c>
      <c r="E74" s="19"/>
      <c r="F74" s="19"/>
      <c r="G74" s="15">
        <f t="shared" si="2"/>
        <v>4</v>
      </c>
      <c r="H74" s="15" t="str">
        <f t="shared" si="3"/>
        <v>OK</v>
      </c>
    </row>
    <row r="75" spans="1:8" ht="15" customHeight="1">
      <c r="A75" s="24">
        <v>65</v>
      </c>
      <c r="B75" s="25" t="s">
        <v>290</v>
      </c>
      <c r="C75" s="26">
        <v>2</v>
      </c>
      <c r="D75" s="25" t="s">
        <v>24</v>
      </c>
      <c r="E75" s="13"/>
      <c r="F75" s="13"/>
      <c r="G75" s="14">
        <f t="shared" ref="G75:G106" si="4">IF(OR(C75="-",C75="N/A",C75=""),"-",C75-IF(E75="",0,E75)+IF(F75="",0,F75))</f>
        <v>2</v>
      </c>
      <c r="H75" s="15" t="str">
        <f t="shared" ref="H75:H106" si="5">IF(OR(G75="-",G75="N/A",G75=""),"N/A",IF(OR(AND(B75="S1 Warm White 18mm",G75&lt;30),AND(B75="18mm Plain",G75&lt;30),AND(B75="MR White 18mm",G75&lt;15),AND(B75="MR Plain 18mm",G75&lt;15),AND(B75="9mm Plain",G75&lt;15)),"RESTOCK NOW",IF(AND(NOT(OR(B75="S1 Warm White 18mm",B75="18mm Plain",B75="MR White 18mm",B75="MR Plain 18mm",B75="9mm Plain")),G75=0),"OUT OF STOCK","OK")))</f>
        <v>OK</v>
      </c>
    </row>
    <row r="76" spans="1:8" ht="15" customHeight="1">
      <c r="A76" s="27">
        <v>66</v>
      </c>
      <c r="B76" s="28" t="s">
        <v>40</v>
      </c>
      <c r="C76" s="27">
        <v>4</v>
      </c>
      <c r="D76" s="28" t="s">
        <v>24</v>
      </c>
      <c r="E76" s="29"/>
      <c r="F76" s="29"/>
      <c r="G76" s="31">
        <f t="shared" si="4"/>
        <v>4</v>
      </c>
      <c r="H76" s="31" t="str">
        <f t="shared" si="5"/>
        <v>OK</v>
      </c>
    </row>
    <row r="77" spans="1:8" ht="15" customHeight="1">
      <c r="A77" s="32">
        <v>67</v>
      </c>
      <c r="B77" s="33" t="s">
        <v>291</v>
      </c>
      <c r="C77" s="32">
        <v>2</v>
      </c>
      <c r="D77" s="33" t="s">
        <v>24</v>
      </c>
      <c r="E77" s="34"/>
      <c r="F77" s="34"/>
      <c r="G77" s="36">
        <f t="shared" si="4"/>
        <v>2</v>
      </c>
      <c r="H77" s="36" t="str">
        <f t="shared" si="5"/>
        <v>OK</v>
      </c>
    </row>
    <row r="78" spans="1:8" ht="15" customHeight="1">
      <c r="A78" s="27">
        <v>68</v>
      </c>
      <c r="B78" s="60" t="s">
        <v>295</v>
      </c>
      <c r="C78" s="27">
        <v>3</v>
      </c>
      <c r="D78" s="28"/>
      <c r="E78" s="29"/>
      <c r="F78" s="29"/>
      <c r="G78" s="31">
        <f t="shared" si="4"/>
        <v>3</v>
      </c>
      <c r="H78" s="31" t="str">
        <f t="shared" si="5"/>
        <v>OK</v>
      </c>
    </row>
    <row r="79" spans="1:8" ht="15" customHeight="1">
      <c r="A79" s="32">
        <v>69</v>
      </c>
      <c r="B79" s="61" t="s">
        <v>292</v>
      </c>
      <c r="C79" s="32">
        <v>5</v>
      </c>
      <c r="D79" s="33"/>
      <c r="E79" s="34">
        <v>5</v>
      </c>
      <c r="F79" s="34"/>
      <c r="G79" s="36">
        <f t="shared" si="4"/>
        <v>0</v>
      </c>
      <c r="H79" s="36" t="str">
        <f t="shared" si="5"/>
        <v>OUT OF STOCK</v>
      </c>
    </row>
    <row r="80" spans="1:8" ht="15" customHeight="1">
      <c r="A80" s="27">
        <v>70</v>
      </c>
      <c r="B80" s="28" t="s">
        <v>237</v>
      </c>
      <c r="C80" s="27">
        <v>2</v>
      </c>
      <c r="D80" s="28"/>
      <c r="E80" s="29"/>
      <c r="F80" s="29"/>
      <c r="G80" s="31">
        <f t="shared" si="4"/>
        <v>2</v>
      </c>
      <c r="H80" s="31" t="str">
        <f t="shared" si="5"/>
        <v>OK</v>
      </c>
    </row>
    <row r="81" spans="1:9" ht="15" customHeight="1">
      <c r="A81" s="32">
        <v>71</v>
      </c>
      <c r="B81" s="33" t="s">
        <v>240</v>
      </c>
      <c r="C81" s="32">
        <v>20</v>
      </c>
      <c r="D81" s="33"/>
      <c r="E81" s="34"/>
      <c r="F81" s="34"/>
      <c r="G81" s="36">
        <f t="shared" si="4"/>
        <v>20</v>
      </c>
      <c r="H81" s="36" t="str">
        <f t="shared" si="5"/>
        <v>OK</v>
      </c>
      <c r="I81" s="62" t="s">
        <v>241</v>
      </c>
    </row>
    <row r="82" spans="1:9" ht="15" customHeight="1">
      <c r="A82" s="27">
        <v>78</v>
      </c>
      <c r="B82" s="28" t="s">
        <v>296</v>
      </c>
      <c r="C82" s="27">
        <v>1</v>
      </c>
      <c r="D82" s="28"/>
      <c r="E82" s="29"/>
      <c r="F82" s="29"/>
      <c r="G82" s="30">
        <f t="shared" si="4"/>
        <v>1</v>
      </c>
      <c r="H82" s="31" t="str">
        <f t="shared" si="5"/>
        <v>OK</v>
      </c>
    </row>
    <row r="83" spans="1:9" ht="15" customHeight="1">
      <c r="A83" s="32">
        <v>79</v>
      </c>
      <c r="B83" s="33" t="s">
        <v>298</v>
      </c>
      <c r="C83" s="32">
        <v>10</v>
      </c>
      <c r="D83" s="33"/>
      <c r="E83" s="34"/>
      <c r="F83" s="34"/>
      <c r="G83" s="35">
        <f t="shared" si="4"/>
        <v>10</v>
      </c>
      <c r="H83" s="36" t="str">
        <f t="shared" si="5"/>
        <v>OK</v>
      </c>
      <c r="I83" s="70" t="s">
        <v>299</v>
      </c>
    </row>
    <row r="84" spans="1:9" ht="15" customHeight="1">
      <c r="A84" s="27"/>
      <c r="B84" s="28"/>
      <c r="C84" s="27"/>
      <c r="D84" s="28"/>
      <c r="E84" s="29"/>
      <c r="F84" s="29"/>
      <c r="G84" s="30" t="str">
        <f t="shared" si="4"/>
        <v>-</v>
      </c>
      <c r="H84" s="31" t="str">
        <f t="shared" si="5"/>
        <v>N/A</v>
      </c>
    </row>
    <row r="85" spans="1:9" ht="15" customHeight="1">
      <c r="A85" s="32"/>
      <c r="B85" s="33"/>
      <c r="C85" s="32"/>
      <c r="D85" s="33"/>
      <c r="E85" s="34"/>
      <c r="F85" s="34"/>
      <c r="G85" s="35" t="str">
        <f t="shared" si="4"/>
        <v>-</v>
      </c>
      <c r="H85" s="36" t="str">
        <f t="shared" si="5"/>
        <v>N/A</v>
      </c>
    </row>
    <row r="86" spans="1:9" ht="15" customHeight="1">
      <c r="A86" s="27"/>
      <c r="B86" s="28"/>
      <c r="C86" s="27"/>
      <c r="D86" s="28"/>
      <c r="E86" s="29"/>
      <c r="F86" s="29"/>
      <c r="G86" s="30" t="str">
        <f t="shared" si="4"/>
        <v>-</v>
      </c>
      <c r="H86" s="31" t="str">
        <f t="shared" si="5"/>
        <v>N/A</v>
      </c>
    </row>
    <row r="87" spans="1:9" ht="15" customHeight="1">
      <c r="A87" s="32"/>
      <c r="B87" s="33"/>
      <c r="C87" s="32"/>
      <c r="D87" s="33"/>
      <c r="E87" s="34"/>
      <c r="F87" s="34"/>
      <c r="G87" s="35" t="str">
        <f t="shared" si="4"/>
        <v>-</v>
      </c>
      <c r="H87" s="36" t="str">
        <f t="shared" si="5"/>
        <v>N/A</v>
      </c>
    </row>
    <row r="88" spans="1:9" ht="15" customHeight="1">
      <c r="A88" s="27"/>
      <c r="B88" s="28"/>
      <c r="C88" s="27"/>
      <c r="D88" s="28"/>
      <c r="E88" s="29"/>
      <c r="F88" s="29"/>
      <c r="G88" s="30" t="str">
        <f t="shared" si="4"/>
        <v>-</v>
      </c>
      <c r="H88" s="31" t="str">
        <f t="shared" si="5"/>
        <v>N/A</v>
      </c>
    </row>
    <row r="89" spans="1:9" ht="15" customHeight="1">
      <c r="A89" s="32"/>
      <c r="B89" s="33"/>
      <c r="C89" s="32"/>
      <c r="D89" s="33"/>
      <c r="E89" s="34"/>
      <c r="F89" s="34"/>
      <c r="G89" s="35" t="str">
        <f t="shared" si="4"/>
        <v>-</v>
      </c>
      <c r="H89" s="36" t="str">
        <f t="shared" si="5"/>
        <v>N/A</v>
      </c>
    </row>
    <row r="90" spans="1:9" ht="15" customHeight="1">
      <c r="A90" s="27"/>
      <c r="B90" s="28"/>
      <c r="C90" s="27"/>
      <c r="D90" s="28"/>
      <c r="E90" s="29"/>
      <c r="F90" s="29"/>
      <c r="G90" s="30" t="str">
        <f t="shared" si="4"/>
        <v>-</v>
      </c>
      <c r="H90" s="31" t="str">
        <f t="shared" si="5"/>
        <v>N/A</v>
      </c>
    </row>
    <row r="91" spans="1:9" ht="15" customHeight="1">
      <c r="A91" s="32"/>
      <c r="B91" s="33"/>
      <c r="C91" s="32"/>
      <c r="D91" s="33"/>
      <c r="E91" s="34"/>
      <c r="F91" s="34"/>
      <c r="G91" s="35" t="str">
        <f t="shared" si="4"/>
        <v>-</v>
      </c>
      <c r="H91" s="36" t="str">
        <f t="shared" si="5"/>
        <v>N/A</v>
      </c>
    </row>
    <row r="92" spans="1:9" ht="15" customHeight="1">
      <c r="A92" s="27"/>
      <c r="B92" s="28"/>
      <c r="C92" s="27"/>
      <c r="D92" s="28"/>
      <c r="E92" s="29"/>
      <c r="F92" s="29"/>
      <c r="G92" s="30" t="str">
        <f t="shared" si="4"/>
        <v>-</v>
      </c>
      <c r="H92" s="31" t="str">
        <f t="shared" si="5"/>
        <v>N/A</v>
      </c>
    </row>
    <row r="93" spans="1:9" ht="15" customHeight="1">
      <c r="A93" s="32"/>
      <c r="B93" s="33"/>
      <c r="C93" s="32"/>
      <c r="D93" s="33"/>
      <c r="E93" s="34"/>
      <c r="F93" s="34"/>
      <c r="G93" s="35" t="str">
        <f t="shared" si="4"/>
        <v>-</v>
      </c>
      <c r="H93" s="36" t="str">
        <f t="shared" si="5"/>
        <v>N/A</v>
      </c>
    </row>
    <row r="94" spans="1:9" ht="15" customHeight="1">
      <c r="A94" s="27"/>
      <c r="B94" s="28"/>
      <c r="C94" s="27"/>
      <c r="D94" s="28"/>
      <c r="E94" s="29"/>
      <c r="F94" s="29"/>
      <c r="G94" s="30" t="str">
        <f t="shared" si="4"/>
        <v>-</v>
      </c>
      <c r="H94" s="31" t="str">
        <f t="shared" si="5"/>
        <v>N/A</v>
      </c>
    </row>
    <row r="95" spans="1:9" ht="15" customHeight="1">
      <c r="A95" s="32"/>
      <c r="B95" s="33"/>
      <c r="C95" s="32"/>
      <c r="D95" s="33"/>
      <c r="E95" s="34"/>
      <c r="F95" s="34"/>
      <c r="G95" s="35" t="str">
        <f t="shared" si="4"/>
        <v>-</v>
      </c>
      <c r="H95" s="36" t="str">
        <f t="shared" si="5"/>
        <v>N/A</v>
      </c>
    </row>
    <row r="96" spans="1:9" ht="15" customHeight="1">
      <c r="A96" s="27"/>
      <c r="B96" s="28"/>
      <c r="C96" s="27"/>
      <c r="D96" s="28"/>
      <c r="E96" s="29"/>
      <c r="F96" s="29"/>
      <c r="G96" s="30" t="str">
        <f t="shared" si="4"/>
        <v>-</v>
      </c>
      <c r="H96" s="31" t="str">
        <f t="shared" si="5"/>
        <v>N/A</v>
      </c>
    </row>
    <row r="97" spans="1:8" ht="15" customHeight="1">
      <c r="A97" s="32"/>
      <c r="B97" s="33"/>
      <c r="C97" s="32"/>
      <c r="D97" s="33"/>
      <c r="E97" s="34"/>
      <c r="F97" s="34"/>
      <c r="G97" s="35" t="str">
        <f t="shared" si="4"/>
        <v>-</v>
      </c>
      <c r="H97" s="36" t="str">
        <f t="shared" si="5"/>
        <v>N/A</v>
      </c>
    </row>
    <row r="98" spans="1:8" ht="15" customHeight="1">
      <c r="A98" s="27"/>
      <c r="B98" s="28"/>
      <c r="C98" s="27"/>
      <c r="D98" s="28"/>
      <c r="E98" s="29"/>
      <c r="F98" s="29"/>
      <c r="G98" s="30" t="str">
        <f t="shared" si="4"/>
        <v>-</v>
      </c>
      <c r="H98" s="31" t="str">
        <f t="shared" si="5"/>
        <v>N/A</v>
      </c>
    </row>
    <row r="99" spans="1:8" ht="15" customHeight="1">
      <c r="A99" s="32"/>
      <c r="B99" s="33"/>
      <c r="C99" s="32"/>
      <c r="D99" s="33"/>
      <c r="E99" s="34"/>
      <c r="F99" s="34"/>
      <c r="G99" s="35" t="str">
        <f t="shared" si="4"/>
        <v>-</v>
      </c>
      <c r="H99" s="36" t="str">
        <f t="shared" si="5"/>
        <v>N/A</v>
      </c>
    </row>
    <row r="100" spans="1:8" ht="15" customHeight="1">
      <c r="A100" s="27"/>
      <c r="B100" s="28"/>
      <c r="C100" s="27"/>
      <c r="D100" s="28"/>
      <c r="E100" s="29"/>
      <c r="F100" s="29"/>
      <c r="G100" s="30" t="str">
        <f t="shared" si="4"/>
        <v>-</v>
      </c>
      <c r="H100" s="31" t="str">
        <f t="shared" si="5"/>
        <v>N/A</v>
      </c>
    </row>
    <row r="101" spans="1:8" ht="15" customHeight="1">
      <c r="A101" s="32"/>
      <c r="B101" s="33"/>
      <c r="C101" s="32"/>
      <c r="D101" s="33"/>
      <c r="E101" s="34"/>
      <c r="F101" s="34"/>
      <c r="G101" s="35" t="str">
        <f t="shared" si="4"/>
        <v>-</v>
      </c>
      <c r="H101" s="36" t="str">
        <f t="shared" si="5"/>
        <v>N/A</v>
      </c>
    </row>
    <row r="102" spans="1:8" ht="15" customHeight="1">
      <c r="A102" s="27"/>
      <c r="B102" s="28"/>
      <c r="C102" s="27"/>
      <c r="D102" s="28"/>
      <c r="E102" s="29"/>
      <c r="F102" s="29"/>
      <c r="G102" s="30" t="str">
        <f t="shared" si="4"/>
        <v>-</v>
      </c>
      <c r="H102" s="31" t="str">
        <f t="shared" si="5"/>
        <v>N/A</v>
      </c>
    </row>
    <row r="103" spans="1:8" ht="15" customHeight="1">
      <c r="A103" s="32"/>
      <c r="B103" s="33"/>
      <c r="C103" s="32"/>
      <c r="D103" s="33"/>
      <c r="E103" s="34"/>
      <c r="F103" s="34"/>
      <c r="G103" s="35" t="str">
        <f t="shared" si="4"/>
        <v>-</v>
      </c>
      <c r="H103" s="36" t="str">
        <f t="shared" si="5"/>
        <v>N/A</v>
      </c>
    </row>
    <row r="104" spans="1:8" ht="15" customHeight="1">
      <c r="A104" s="27"/>
      <c r="B104" s="28"/>
      <c r="C104" s="27"/>
      <c r="D104" s="28"/>
      <c r="E104" s="29"/>
      <c r="F104" s="29"/>
      <c r="G104" s="30" t="str">
        <f t="shared" si="4"/>
        <v>-</v>
      </c>
      <c r="H104" s="31" t="str">
        <f t="shared" si="5"/>
        <v>N/A</v>
      </c>
    </row>
    <row r="105" spans="1:8" ht="15" customHeight="1">
      <c r="A105" s="32"/>
      <c r="B105" s="33"/>
      <c r="C105" s="32"/>
      <c r="D105" s="33"/>
      <c r="E105" s="34"/>
      <c r="F105" s="34"/>
      <c r="G105" s="35" t="str">
        <f t="shared" si="4"/>
        <v>-</v>
      </c>
      <c r="H105" s="36" t="str">
        <f t="shared" si="5"/>
        <v>N/A</v>
      </c>
    </row>
    <row r="106" spans="1:8" ht="15" customHeight="1">
      <c r="A106" s="27"/>
      <c r="B106" s="28"/>
      <c r="C106" s="27"/>
      <c r="D106" s="28"/>
      <c r="E106" s="29"/>
      <c r="F106" s="29"/>
      <c r="G106" s="30" t="str">
        <f t="shared" si="4"/>
        <v>-</v>
      </c>
      <c r="H106" s="31" t="str">
        <f t="shared" si="5"/>
        <v>N/A</v>
      </c>
    </row>
    <row r="107" spans="1:8" ht="15" customHeight="1">
      <c r="A107" s="32"/>
      <c r="B107" s="33"/>
      <c r="C107" s="32"/>
      <c r="D107" s="33"/>
      <c r="E107" s="34"/>
      <c r="F107" s="34"/>
      <c r="G107" s="35" t="str">
        <f t="shared" ref="G107:G138" si="6">IF(OR(C107="-",C107="N/A",C107=""),"-",C107-IF(E107="",0,E107)+IF(F107="",0,F107))</f>
        <v>-</v>
      </c>
      <c r="H107" s="36" t="str">
        <f t="shared" ref="H107:H138" si="7">IF(OR(G107="-",G107="N/A",G107=""),"N/A",IF(OR(AND(B107="S1 Warm White 18mm",G107&lt;30),AND(B107="18mm Plain",G107&lt;30),AND(B107="MR White 18mm",G107&lt;15),AND(B107="MR Plain 18mm",G107&lt;15),AND(B107="9mm Plain",G107&lt;15)),"RESTOCK NOW",IF(AND(NOT(OR(B107="S1 Warm White 18mm",B107="18mm Plain",B107="MR White 18mm",B107="MR Plain 18mm",B107="9mm Plain")),G107=0),"OUT OF STOCK","OK")))</f>
        <v>N/A</v>
      </c>
    </row>
    <row r="108" spans="1:8" ht="15" customHeight="1">
      <c r="A108" s="27"/>
      <c r="B108" s="28"/>
      <c r="C108" s="27"/>
      <c r="D108" s="28"/>
      <c r="E108" s="29"/>
      <c r="F108" s="29"/>
      <c r="G108" s="30" t="str">
        <f t="shared" si="6"/>
        <v>-</v>
      </c>
      <c r="H108" s="31" t="str">
        <f t="shared" si="7"/>
        <v>N/A</v>
      </c>
    </row>
    <row r="109" spans="1:8" ht="15" customHeight="1">
      <c r="A109" s="32"/>
      <c r="B109" s="33"/>
      <c r="C109" s="32"/>
      <c r="D109" s="33"/>
      <c r="E109" s="34"/>
      <c r="F109" s="34"/>
      <c r="G109" s="35" t="str">
        <f t="shared" si="6"/>
        <v>-</v>
      </c>
      <c r="H109" s="36" t="str">
        <f t="shared" si="7"/>
        <v>N/A</v>
      </c>
    </row>
    <row r="110" spans="1:8" ht="15" customHeight="1">
      <c r="A110" s="27"/>
      <c r="B110" s="28"/>
      <c r="C110" s="27"/>
      <c r="D110" s="28"/>
      <c r="E110" s="29"/>
      <c r="F110" s="29"/>
      <c r="G110" s="30" t="str">
        <f t="shared" si="6"/>
        <v>-</v>
      </c>
      <c r="H110" s="31" t="str">
        <f t="shared" si="7"/>
        <v>N/A</v>
      </c>
    </row>
    <row r="111" spans="1:8" ht="15" customHeight="1">
      <c r="A111" s="32"/>
      <c r="B111" s="33"/>
      <c r="C111" s="32"/>
      <c r="D111" s="33"/>
      <c r="E111" s="34"/>
      <c r="F111" s="34"/>
      <c r="G111" s="35" t="str">
        <f t="shared" si="6"/>
        <v>-</v>
      </c>
      <c r="H111" s="36" t="str">
        <f t="shared" si="7"/>
        <v>N/A</v>
      </c>
    </row>
    <row r="112" spans="1:8" ht="15" customHeight="1">
      <c r="A112" s="27"/>
      <c r="B112" s="28"/>
      <c r="C112" s="27"/>
      <c r="D112" s="28"/>
      <c r="E112" s="29"/>
      <c r="F112" s="29"/>
      <c r="G112" s="30" t="str">
        <f t="shared" si="6"/>
        <v>-</v>
      </c>
      <c r="H112" s="31" t="str">
        <f t="shared" si="7"/>
        <v>N/A</v>
      </c>
    </row>
    <row r="113" spans="1:8" ht="15" customHeight="1">
      <c r="A113" s="32"/>
      <c r="B113" s="33"/>
      <c r="C113" s="32"/>
      <c r="D113" s="33"/>
      <c r="E113" s="34"/>
      <c r="F113" s="34"/>
      <c r="G113" s="35" t="str">
        <f t="shared" si="6"/>
        <v>-</v>
      </c>
      <c r="H113" s="36" t="str">
        <f t="shared" si="7"/>
        <v>N/A</v>
      </c>
    </row>
    <row r="114" spans="1:8" ht="15" customHeight="1">
      <c r="A114" s="27"/>
      <c r="B114" s="28"/>
      <c r="C114" s="27"/>
      <c r="D114" s="28"/>
      <c r="E114" s="29"/>
      <c r="F114" s="29"/>
      <c r="G114" s="30" t="str">
        <f t="shared" si="6"/>
        <v>-</v>
      </c>
      <c r="H114" s="31" t="str">
        <f t="shared" si="7"/>
        <v>N/A</v>
      </c>
    </row>
    <row r="115" spans="1:8" ht="15" customHeight="1">
      <c r="A115" s="32"/>
      <c r="B115" s="33"/>
      <c r="C115" s="32"/>
      <c r="D115" s="33"/>
      <c r="E115" s="34"/>
      <c r="F115" s="34"/>
      <c r="G115" s="35" t="str">
        <f t="shared" si="6"/>
        <v>-</v>
      </c>
      <c r="H115" s="36" t="str">
        <f t="shared" si="7"/>
        <v>N/A</v>
      </c>
    </row>
    <row r="116" spans="1:8" ht="15" customHeight="1">
      <c r="A116" s="27"/>
      <c r="B116" s="28"/>
      <c r="C116" s="27"/>
      <c r="D116" s="28"/>
      <c r="E116" s="29"/>
      <c r="F116" s="29"/>
      <c r="G116" s="30" t="str">
        <f t="shared" si="6"/>
        <v>-</v>
      </c>
      <c r="H116" s="31" t="str">
        <f t="shared" si="7"/>
        <v>N/A</v>
      </c>
    </row>
    <row r="117" spans="1:8" ht="15" customHeight="1">
      <c r="A117" s="32"/>
      <c r="B117" s="33"/>
      <c r="C117" s="32"/>
      <c r="D117" s="33"/>
      <c r="E117" s="34"/>
      <c r="F117" s="34"/>
      <c r="G117" s="35" t="str">
        <f t="shared" si="6"/>
        <v>-</v>
      </c>
      <c r="H117" s="36" t="str">
        <f t="shared" si="7"/>
        <v>N/A</v>
      </c>
    </row>
    <row r="118" spans="1:8" ht="15" customHeight="1">
      <c r="A118" s="27"/>
      <c r="B118" s="28"/>
      <c r="C118" s="27"/>
      <c r="D118" s="28"/>
      <c r="E118" s="29"/>
      <c r="F118" s="29"/>
      <c r="G118" s="30" t="str">
        <f t="shared" si="6"/>
        <v>-</v>
      </c>
      <c r="H118" s="31" t="str">
        <f t="shared" si="7"/>
        <v>N/A</v>
      </c>
    </row>
    <row r="119" spans="1:8" ht="15" customHeight="1">
      <c r="A119" s="32"/>
      <c r="B119" s="33"/>
      <c r="C119" s="32"/>
      <c r="D119" s="33"/>
      <c r="E119" s="34"/>
      <c r="F119" s="34"/>
      <c r="G119" s="35" t="str">
        <f t="shared" si="6"/>
        <v>-</v>
      </c>
      <c r="H119" s="36" t="str">
        <f t="shared" si="7"/>
        <v>N/A</v>
      </c>
    </row>
    <row r="120" spans="1:8" ht="15" customHeight="1">
      <c r="A120" s="27"/>
      <c r="B120" s="28"/>
      <c r="C120" s="27"/>
      <c r="D120" s="28"/>
      <c r="E120" s="29"/>
      <c r="F120" s="29"/>
      <c r="G120" s="30" t="str">
        <f t="shared" si="6"/>
        <v>-</v>
      </c>
      <c r="H120" s="31" t="str">
        <f t="shared" si="7"/>
        <v>N/A</v>
      </c>
    </row>
    <row r="121" spans="1:8" ht="15" customHeight="1">
      <c r="A121" s="32"/>
      <c r="B121" s="33"/>
      <c r="C121" s="32"/>
      <c r="D121" s="33"/>
      <c r="E121" s="34"/>
      <c r="F121" s="34"/>
      <c r="G121" s="35" t="str">
        <f t="shared" si="6"/>
        <v>-</v>
      </c>
      <c r="H121" s="36" t="str">
        <f t="shared" si="7"/>
        <v>N/A</v>
      </c>
    </row>
    <row r="122" spans="1:8" ht="15" customHeight="1">
      <c r="A122" s="27"/>
      <c r="B122" s="28"/>
      <c r="C122" s="27"/>
      <c r="D122" s="28"/>
      <c r="E122" s="29"/>
      <c r="F122" s="29"/>
      <c r="G122" s="30" t="str">
        <f t="shared" si="6"/>
        <v>-</v>
      </c>
      <c r="H122" s="31" t="str">
        <f t="shared" si="7"/>
        <v>N/A</v>
      </c>
    </row>
    <row r="123" spans="1:8" ht="15" customHeight="1">
      <c r="A123" s="32"/>
      <c r="B123" s="33"/>
      <c r="C123" s="32"/>
      <c r="D123" s="33"/>
      <c r="E123" s="34"/>
      <c r="F123" s="34"/>
      <c r="G123" s="35" t="str">
        <f t="shared" si="6"/>
        <v>-</v>
      </c>
      <c r="H123" s="36" t="str">
        <f t="shared" si="7"/>
        <v>N/A</v>
      </c>
    </row>
    <row r="124" spans="1:8" ht="15" customHeight="1">
      <c r="A124" s="27"/>
      <c r="B124" s="28"/>
      <c r="C124" s="27"/>
      <c r="D124" s="28"/>
      <c r="E124" s="29"/>
      <c r="F124" s="29"/>
      <c r="G124" s="30" t="str">
        <f t="shared" si="6"/>
        <v>-</v>
      </c>
      <c r="H124" s="31" t="str">
        <f t="shared" si="7"/>
        <v>N/A</v>
      </c>
    </row>
    <row r="125" spans="1:8" ht="15" customHeight="1">
      <c r="A125" s="32"/>
      <c r="B125" s="33"/>
      <c r="C125" s="32"/>
      <c r="D125" s="33"/>
      <c r="E125" s="34"/>
      <c r="F125" s="34"/>
      <c r="G125" s="35" t="str">
        <f t="shared" si="6"/>
        <v>-</v>
      </c>
      <c r="H125" s="36" t="str">
        <f t="shared" si="7"/>
        <v>N/A</v>
      </c>
    </row>
    <row r="126" spans="1:8" ht="15" customHeight="1">
      <c r="A126" s="27"/>
      <c r="B126" s="28"/>
      <c r="C126" s="27"/>
      <c r="D126" s="28"/>
      <c r="E126" s="29"/>
      <c r="F126" s="29"/>
      <c r="G126" s="30" t="str">
        <f t="shared" si="6"/>
        <v>-</v>
      </c>
      <c r="H126" s="31" t="str">
        <f t="shared" si="7"/>
        <v>N/A</v>
      </c>
    </row>
    <row r="127" spans="1:8" ht="15" customHeight="1">
      <c r="A127" s="32"/>
      <c r="B127" s="33"/>
      <c r="C127" s="32"/>
      <c r="D127" s="33"/>
      <c r="E127" s="34"/>
      <c r="F127" s="34"/>
      <c r="G127" s="35" t="str">
        <f t="shared" si="6"/>
        <v>-</v>
      </c>
      <c r="H127" s="36" t="str">
        <f t="shared" si="7"/>
        <v>N/A</v>
      </c>
    </row>
    <row r="128" spans="1:8" ht="15" customHeight="1">
      <c r="A128" s="27"/>
      <c r="B128" s="28"/>
      <c r="C128" s="27"/>
      <c r="D128" s="28"/>
      <c r="E128" s="29"/>
      <c r="F128" s="29"/>
      <c r="G128" s="30" t="str">
        <f t="shared" si="6"/>
        <v>-</v>
      </c>
      <c r="H128" s="31" t="str">
        <f t="shared" si="7"/>
        <v>N/A</v>
      </c>
    </row>
    <row r="129" spans="1:8" ht="15" customHeight="1">
      <c r="A129" s="32"/>
      <c r="B129" s="33"/>
      <c r="C129" s="32"/>
      <c r="D129" s="33"/>
      <c r="E129" s="34"/>
      <c r="F129" s="34"/>
      <c r="G129" s="35" t="str">
        <f t="shared" si="6"/>
        <v>-</v>
      </c>
      <c r="H129" s="36" t="str">
        <f t="shared" si="7"/>
        <v>N/A</v>
      </c>
    </row>
    <row r="130" spans="1:8" ht="15" customHeight="1">
      <c r="A130" s="27"/>
      <c r="B130" s="28"/>
      <c r="C130" s="27"/>
      <c r="D130" s="28"/>
      <c r="E130" s="29"/>
      <c r="F130" s="29"/>
      <c r="G130" s="30" t="str">
        <f t="shared" si="6"/>
        <v>-</v>
      </c>
      <c r="H130" s="31" t="str">
        <f t="shared" si="7"/>
        <v>N/A</v>
      </c>
    </row>
    <row r="131" spans="1:8" ht="15" customHeight="1">
      <c r="A131" s="32"/>
      <c r="B131" s="33"/>
      <c r="C131" s="32"/>
      <c r="D131" s="33"/>
      <c r="E131" s="34"/>
      <c r="F131" s="34"/>
      <c r="G131" s="35" t="str">
        <f t="shared" si="6"/>
        <v>-</v>
      </c>
      <c r="H131" s="36" t="str">
        <f t="shared" si="7"/>
        <v>N/A</v>
      </c>
    </row>
    <row r="132" spans="1:8" ht="15" customHeight="1">
      <c r="A132" s="27"/>
      <c r="B132" s="28"/>
      <c r="C132" s="27"/>
      <c r="D132" s="28"/>
      <c r="E132" s="29"/>
      <c r="F132" s="29"/>
      <c r="G132" s="30" t="str">
        <f t="shared" si="6"/>
        <v>-</v>
      </c>
      <c r="H132" s="31" t="str">
        <f t="shared" si="7"/>
        <v>N/A</v>
      </c>
    </row>
    <row r="133" spans="1:8" ht="15" customHeight="1">
      <c r="A133" s="32"/>
      <c r="B133" s="33"/>
      <c r="C133" s="32"/>
      <c r="D133" s="33"/>
      <c r="E133" s="34"/>
      <c r="F133" s="34"/>
      <c r="G133" s="35" t="str">
        <f t="shared" si="6"/>
        <v>-</v>
      </c>
      <c r="H133" s="36" t="str">
        <f t="shared" si="7"/>
        <v>N/A</v>
      </c>
    </row>
    <row r="134" spans="1:8" ht="15" customHeight="1">
      <c r="A134" s="27"/>
      <c r="B134" s="28"/>
      <c r="C134" s="27"/>
      <c r="D134" s="28"/>
      <c r="E134" s="29"/>
      <c r="F134" s="29"/>
      <c r="G134" s="30" t="str">
        <f t="shared" si="6"/>
        <v>-</v>
      </c>
      <c r="H134" s="31" t="str">
        <f t="shared" si="7"/>
        <v>N/A</v>
      </c>
    </row>
    <row r="135" spans="1:8" ht="15" customHeight="1">
      <c r="A135" s="32"/>
      <c r="B135" s="33"/>
      <c r="C135" s="32"/>
      <c r="D135" s="33"/>
      <c r="E135" s="34"/>
      <c r="F135" s="34"/>
      <c r="G135" s="35" t="str">
        <f t="shared" si="6"/>
        <v>-</v>
      </c>
      <c r="H135" s="36" t="str">
        <f t="shared" si="7"/>
        <v>N/A</v>
      </c>
    </row>
    <row r="136" spans="1:8" ht="15" customHeight="1">
      <c r="A136" s="27"/>
      <c r="B136" s="28"/>
      <c r="C136" s="27"/>
      <c r="D136" s="28"/>
      <c r="E136" s="29"/>
      <c r="F136" s="29"/>
      <c r="G136" s="30" t="str">
        <f t="shared" si="6"/>
        <v>-</v>
      </c>
      <c r="H136" s="31" t="str">
        <f t="shared" si="7"/>
        <v>N/A</v>
      </c>
    </row>
    <row r="137" spans="1:8" ht="15" customHeight="1">
      <c r="A137" s="32"/>
      <c r="B137" s="33"/>
      <c r="C137" s="32"/>
      <c r="D137" s="33"/>
      <c r="E137" s="34"/>
      <c r="F137" s="34"/>
      <c r="G137" s="35" t="str">
        <f t="shared" si="6"/>
        <v>-</v>
      </c>
      <c r="H137" s="36" t="str">
        <f t="shared" si="7"/>
        <v>N/A</v>
      </c>
    </row>
    <row r="138" spans="1:8" ht="15" customHeight="1">
      <c r="A138" s="27"/>
      <c r="B138" s="28"/>
      <c r="C138" s="27"/>
      <c r="D138" s="28"/>
      <c r="E138" s="29"/>
      <c r="F138" s="29"/>
      <c r="G138" s="30" t="str">
        <f t="shared" si="6"/>
        <v>-</v>
      </c>
      <c r="H138" s="31" t="str">
        <f t="shared" si="7"/>
        <v>N/A</v>
      </c>
    </row>
    <row r="139" spans="1:8" ht="15" customHeight="1">
      <c r="A139" s="32"/>
      <c r="B139" s="33"/>
      <c r="C139" s="32"/>
      <c r="D139" s="33"/>
      <c r="E139" s="34"/>
      <c r="F139" s="34"/>
      <c r="G139" s="35" t="str">
        <f t="shared" ref="G139:G170" si="8">IF(OR(C139="-",C139="N/A",C139=""),"-",C139-IF(E139="",0,E139)+IF(F139="",0,F139))</f>
        <v>-</v>
      </c>
      <c r="H139" s="36" t="str">
        <f t="shared" ref="H139:H170" si="9">IF(OR(G139="-",G139="N/A",G139=""),"N/A",IF(OR(AND(B139="S1 Warm White 18mm",G139&lt;30),AND(B139="18mm Plain",G139&lt;30),AND(B139="MR White 18mm",G139&lt;15),AND(B139="MR Plain 18mm",G139&lt;15),AND(B139="9mm Plain",G139&lt;15)),"RESTOCK NOW",IF(AND(NOT(OR(B139="S1 Warm White 18mm",B139="18mm Plain",B139="MR White 18mm",B139="MR Plain 18mm",B139="9mm Plain")),G139=0),"OUT OF STOCK","OK")))</f>
        <v>N/A</v>
      </c>
    </row>
    <row r="140" spans="1:8" ht="15" customHeight="1">
      <c r="A140" s="27"/>
      <c r="B140" s="28"/>
      <c r="C140" s="27"/>
      <c r="D140" s="28"/>
      <c r="E140" s="29"/>
      <c r="F140" s="29"/>
      <c r="G140" s="30" t="str">
        <f t="shared" si="8"/>
        <v>-</v>
      </c>
      <c r="H140" s="31" t="str">
        <f t="shared" si="9"/>
        <v>N/A</v>
      </c>
    </row>
    <row r="141" spans="1:8" ht="15" customHeight="1">
      <c r="A141" s="32"/>
      <c r="B141" s="33"/>
      <c r="C141" s="32"/>
      <c r="D141" s="33"/>
      <c r="E141" s="34"/>
      <c r="F141" s="34"/>
      <c r="G141" s="35" t="str">
        <f t="shared" si="8"/>
        <v>-</v>
      </c>
      <c r="H141" s="36" t="str">
        <f t="shared" si="9"/>
        <v>N/A</v>
      </c>
    </row>
    <row r="142" spans="1:8" ht="15" customHeight="1">
      <c r="A142" s="27"/>
      <c r="B142" s="28"/>
      <c r="C142" s="27"/>
      <c r="D142" s="28"/>
      <c r="E142" s="29"/>
      <c r="F142" s="29"/>
      <c r="G142" s="30" t="str">
        <f t="shared" si="8"/>
        <v>-</v>
      </c>
      <c r="H142" s="31" t="str">
        <f t="shared" si="9"/>
        <v>N/A</v>
      </c>
    </row>
    <row r="143" spans="1:8" ht="15" customHeight="1">
      <c r="A143" s="32"/>
      <c r="B143" s="33"/>
      <c r="C143" s="32"/>
      <c r="D143" s="33"/>
      <c r="E143" s="34"/>
      <c r="F143" s="34"/>
      <c r="G143" s="35" t="str">
        <f t="shared" si="8"/>
        <v>-</v>
      </c>
      <c r="H143" s="36" t="str">
        <f t="shared" si="9"/>
        <v>N/A</v>
      </c>
    </row>
    <row r="144" spans="1:8" ht="15" customHeight="1">
      <c r="A144" s="27"/>
      <c r="B144" s="28"/>
      <c r="C144" s="27"/>
      <c r="D144" s="28"/>
      <c r="E144" s="29"/>
      <c r="F144" s="29"/>
      <c r="G144" s="30" t="str">
        <f t="shared" si="8"/>
        <v>-</v>
      </c>
      <c r="H144" s="31" t="str">
        <f t="shared" si="9"/>
        <v>N/A</v>
      </c>
    </row>
    <row r="145" spans="1:8" ht="15" customHeight="1">
      <c r="A145" s="32"/>
      <c r="B145" s="33"/>
      <c r="C145" s="32"/>
      <c r="D145" s="33"/>
      <c r="E145" s="34"/>
      <c r="F145" s="34"/>
      <c r="G145" s="35" t="str">
        <f t="shared" si="8"/>
        <v>-</v>
      </c>
      <c r="H145" s="36" t="str">
        <f t="shared" si="9"/>
        <v>N/A</v>
      </c>
    </row>
    <row r="146" spans="1:8" ht="15" customHeight="1">
      <c r="A146" s="27"/>
      <c r="B146" s="28"/>
      <c r="C146" s="27"/>
      <c r="D146" s="28"/>
      <c r="E146" s="29"/>
      <c r="F146" s="29"/>
      <c r="G146" s="30" t="str">
        <f t="shared" si="8"/>
        <v>-</v>
      </c>
      <c r="H146" s="31" t="str">
        <f t="shared" si="9"/>
        <v>N/A</v>
      </c>
    </row>
    <row r="147" spans="1:8" ht="15" customHeight="1">
      <c r="A147" s="32"/>
      <c r="B147" s="33"/>
      <c r="C147" s="32"/>
      <c r="D147" s="33"/>
      <c r="E147" s="34"/>
      <c r="F147" s="34"/>
      <c r="G147" s="35" t="str">
        <f t="shared" si="8"/>
        <v>-</v>
      </c>
      <c r="H147" s="36" t="str">
        <f t="shared" si="9"/>
        <v>N/A</v>
      </c>
    </row>
    <row r="148" spans="1:8" ht="15" customHeight="1">
      <c r="A148" s="27"/>
      <c r="B148" s="28"/>
      <c r="C148" s="27"/>
      <c r="D148" s="28"/>
      <c r="E148" s="29"/>
      <c r="F148" s="29"/>
      <c r="G148" s="30" t="str">
        <f t="shared" si="8"/>
        <v>-</v>
      </c>
      <c r="H148" s="31" t="str">
        <f t="shared" si="9"/>
        <v>N/A</v>
      </c>
    </row>
    <row r="149" spans="1:8" ht="15" customHeight="1">
      <c r="A149" s="32"/>
      <c r="B149" s="33"/>
      <c r="C149" s="32"/>
      <c r="D149" s="33"/>
      <c r="E149" s="34"/>
      <c r="F149" s="34"/>
      <c r="G149" s="35" t="str">
        <f t="shared" si="8"/>
        <v>-</v>
      </c>
      <c r="H149" s="36" t="str">
        <f t="shared" si="9"/>
        <v>N/A</v>
      </c>
    </row>
    <row r="150" spans="1:8" ht="15" customHeight="1">
      <c r="A150" s="27"/>
      <c r="B150" s="28"/>
      <c r="C150" s="27"/>
      <c r="D150" s="28"/>
      <c r="E150" s="29"/>
      <c r="F150" s="29"/>
      <c r="G150" s="30" t="str">
        <f t="shared" si="8"/>
        <v>-</v>
      </c>
      <c r="H150" s="31" t="str">
        <f t="shared" si="9"/>
        <v>N/A</v>
      </c>
    </row>
    <row r="151" spans="1:8" ht="15" customHeight="1">
      <c r="A151" s="32"/>
      <c r="B151" s="33"/>
      <c r="C151" s="32"/>
      <c r="D151" s="33"/>
      <c r="E151" s="34"/>
      <c r="F151" s="34"/>
      <c r="G151" s="35" t="str">
        <f t="shared" si="8"/>
        <v>-</v>
      </c>
      <c r="H151" s="36" t="str">
        <f t="shared" si="9"/>
        <v>N/A</v>
      </c>
    </row>
    <row r="152" spans="1:8" ht="15" customHeight="1">
      <c r="A152" s="27"/>
      <c r="B152" s="28"/>
      <c r="C152" s="27"/>
      <c r="D152" s="28"/>
      <c r="E152" s="29"/>
      <c r="F152" s="29"/>
      <c r="G152" s="30" t="str">
        <f t="shared" si="8"/>
        <v>-</v>
      </c>
      <c r="H152" s="31" t="str">
        <f t="shared" si="9"/>
        <v>N/A</v>
      </c>
    </row>
    <row r="153" spans="1:8" ht="15" customHeight="1">
      <c r="A153" s="32"/>
      <c r="B153" s="33"/>
      <c r="C153" s="32"/>
      <c r="D153" s="33"/>
      <c r="E153" s="34"/>
      <c r="F153" s="34"/>
      <c r="G153" s="35" t="str">
        <f t="shared" si="8"/>
        <v>-</v>
      </c>
      <c r="H153" s="36" t="str">
        <f t="shared" si="9"/>
        <v>N/A</v>
      </c>
    </row>
    <row r="154" spans="1:8" ht="15" customHeight="1">
      <c r="A154" s="27"/>
      <c r="B154" s="28"/>
      <c r="C154" s="27"/>
      <c r="D154" s="28"/>
      <c r="E154" s="29"/>
      <c r="F154" s="29"/>
      <c r="G154" s="30" t="str">
        <f t="shared" si="8"/>
        <v>-</v>
      </c>
      <c r="H154" s="31" t="str">
        <f t="shared" si="9"/>
        <v>N/A</v>
      </c>
    </row>
    <row r="155" spans="1:8" ht="15" customHeight="1">
      <c r="A155" s="32"/>
      <c r="B155" s="33"/>
      <c r="C155" s="32"/>
      <c r="D155" s="33"/>
      <c r="E155" s="34"/>
      <c r="F155" s="34"/>
      <c r="G155" s="35" t="str">
        <f t="shared" si="8"/>
        <v>-</v>
      </c>
      <c r="H155" s="36" t="str">
        <f t="shared" si="9"/>
        <v>N/A</v>
      </c>
    </row>
    <row r="156" spans="1:8" ht="15" customHeight="1">
      <c r="A156" s="27"/>
      <c r="B156" s="28"/>
      <c r="C156" s="27"/>
      <c r="D156" s="28"/>
      <c r="E156" s="29"/>
      <c r="F156" s="29"/>
      <c r="G156" s="30" t="str">
        <f t="shared" si="8"/>
        <v>-</v>
      </c>
      <c r="H156" s="31" t="str">
        <f t="shared" si="9"/>
        <v>N/A</v>
      </c>
    </row>
    <row r="157" spans="1:8" ht="15" customHeight="1">
      <c r="A157" s="32"/>
      <c r="B157" s="33"/>
      <c r="C157" s="32"/>
      <c r="D157" s="33"/>
      <c r="E157" s="34"/>
      <c r="F157" s="34"/>
      <c r="G157" s="35" t="str">
        <f t="shared" si="8"/>
        <v>-</v>
      </c>
      <c r="H157" s="36" t="str">
        <f t="shared" si="9"/>
        <v>N/A</v>
      </c>
    </row>
    <row r="158" spans="1:8" ht="15" customHeight="1">
      <c r="A158" s="27"/>
      <c r="B158" s="28"/>
      <c r="C158" s="27"/>
      <c r="D158" s="28"/>
      <c r="E158" s="29"/>
      <c r="F158" s="29"/>
      <c r="G158" s="30" t="str">
        <f t="shared" si="8"/>
        <v>-</v>
      </c>
      <c r="H158" s="31" t="str">
        <f t="shared" si="9"/>
        <v>N/A</v>
      </c>
    </row>
    <row r="159" spans="1:8" ht="15" customHeight="1">
      <c r="A159" s="32"/>
      <c r="B159" s="33"/>
      <c r="C159" s="32"/>
      <c r="D159" s="33"/>
      <c r="E159" s="34"/>
      <c r="F159" s="34"/>
      <c r="G159" s="35" t="str">
        <f t="shared" si="8"/>
        <v>-</v>
      </c>
      <c r="H159" s="36" t="str">
        <f t="shared" si="9"/>
        <v>N/A</v>
      </c>
    </row>
    <row r="160" spans="1:8" ht="15" customHeight="1">
      <c r="A160" s="27"/>
      <c r="B160" s="28"/>
      <c r="C160" s="27"/>
      <c r="D160" s="28"/>
      <c r="E160" s="29"/>
      <c r="F160" s="29"/>
      <c r="G160" s="30" t="str">
        <f t="shared" si="8"/>
        <v>-</v>
      </c>
      <c r="H160" s="31" t="str">
        <f t="shared" si="9"/>
        <v>N/A</v>
      </c>
    </row>
    <row r="161" spans="1:8" ht="15" customHeight="1">
      <c r="A161" s="32"/>
      <c r="B161" s="33"/>
      <c r="C161" s="32"/>
      <c r="D161" s="33"/>
      <c r="E161" s="34"/>
      <c r="F161" s="34"/>
      <c r="G161" s="35" t="str">
        <f t="shared" si="8"/>
        <v>-</v>
      </c>
      <c r="H161" s="36" t="str">
        <f t="shared" si="9"/>
        <v>N/A</v>
      </c>
    </row>
    <row r="162" spans="1:8" ht="15" customHeight="1">
      <c r="A162" s="27"/>
      <c r="B162" s="28"/>
      <c r="C162" s="27"/>
      <c r="D162" s="28"/>
      <c r="E162" s="29"/>
      <c r="F162" s="29"/>
      <c r="G162" s="30" t="str">
        <f t="shared" si="8"/>
        <v>-</v>
      </c>
      <c r="H162" s="31" t="str">
        <f t="shared" si="9"/>
        <v>N/A</v>
      </c>
    </row>
    <row r="163" spans="1:8" ht="15" customHeight="1">
      <c r="A163" s="32"/>
      <c r="B163" s="33"/>
      <c r="C163" s="32"/>
      <c r="D163" s="33"/>
      <c r="E163" s="34"/>
      <c r="F163" s="34"/>
      <c r="G163" s="35" t="str">
        <f t="shared" si="8"/>
        <v>-</v>
      </c>
      <c r="H163" s="36" t="str">
        <f t="shared" si="9"/>
        <v>N/A</v>
      </c>
    </row>
    <row r="164" spans="1:8" ht="15" customHeight="1">
      <c r="A164" s="27"/>
      <c r="B164" s="28"/>
      <c r="C164" s="27"/>
      <c r="D164" s="28"/>
      <c r="E164" s="29"/>
      <c r="F164" s="29"/>
      <c r="G164" s="30" t="str">
        <f t="shared" si="8"/>
        <v>-</v>
      </c>
      <c r="H164" s="31" t="str">
        <f t="shared" si="9"/>
        <v>N/A</v>
      </c>
    </row>
    <row r="165" spans="1:8" ht="15" customHeight="1">
      <c r="A165" s="32"/>
      <c r="B165" s="33"/>
      <c r="C165" s="32"/>
      <c r="D165" s="33"/>
      <c r="E165" s="34"/>
      <c r="F165" s="34"/>
      <c r="G165" s="35" t="str">
        <f t="shared" si="8"/>
        <v>-</v>
      </c>
      <c r="H165" s="36" t="str">
        <f t="shared" si="9"/>
        <v>N/A</v>
      </c>
    </row>
    <row r="166" spans="1:8" ht="15" customHeight="1">
      <c r="A166" s="27"/>
      <c r="B166" s="28"/>
      <c r="C166" s="27"/>
      <c r="D166" s="28"/>
      <c r="E166" s="29"/>
      <c r="F166" s="29"/>
      <c r="G166" s="30" t="str">
        <f t="shared" si="8"/>
        <v>-</v>
      </c>
      <c r="H166" s="31" t="str">
        <f t="shared" si="9"/>
        <v>N/A</v>
      </c>
    </row>
    <row r="167" spans="1:8" ht="15" customHeight="1">
      <c r="A167" s="32"/>
      <c r="B167" s="33"/>
      <c r="C167" s="32"/>
      <c r="D167" s="33"/>
      <c r="E167" s="34"/>
      <c r="F167" s="34"/>
      <c r="G167" s="35" t="str">
        <f t="shared" si="8"/>
        <v>-</v>
      </c>
      <c r="H167" s="36" t="str">
        <f t="shared" si="9"/>
        <v>N/A</v>
      </c>
    </row>
    <row r="168" spans="1:8" ht="15" customHeight="1">
      <c r="A168" s="27"/>
      <c r="B168" s="28"/>
      <c r="C168" s="27"/>
      <c r="D168" s="28"/>
      <c r="E168" s="29"/>
      <c r="F168" s="29"/>
      <c r="G168" s="30" t="str">
        <f t="shared" si="8"/>
        <v>-</v>
      </c>
      <c r="H168" s="31" t="str">
        <f t="shared" si="9"/>
        <v>N/A</v>
      </c>
    </row>
    <row r="169" spans="1:8" ht="15" customHeight="1">
      <c r="A169" s="32"/>
      <c r="B169" s="33"/>
      <c r="C169" s="32"/>
      <c r="D169" s="33"/>
      <c r="E169" s="34"/>
      <c r="F169" s="34"/>
      <c r="G169" s="35" t="str">
        <f t="shared" si="8"/>
        <v>-</v>
      </c>
      <c r="H169" s="36" t="str">
        <f t="shared" si="9"/>
        <v>N/A</v>
      </c>
    </row>
    <row r="170" spans="1:8" ht="15" customHeight="1">
      <c r="A170" s="27"/>
      <c r="B170" s="28"/>
      <c r="C170" s="27"/>
      <c r="D170" s="28"/>
      <c r="E170" s="29"/>
      <c r="F170" s="29"/>
      <c r="G170" s="30" t="str">
        <f t="shared" si="8"/>
        <v>-</v>
      </c>
      <c r="H170" s="31" t="str">
        <f t="shared" si="9"/>
        <v>N/A</v>
      </c>
    </row>
    <row r="171" spans="1:8" ht="15" customHeight="1">
      <c r="A171" s="32"/>
      <c r="B171" s="33"/>
      <c r="C171" s="32"/>
      <c r="D171" s="33"/>
      <c r="E171" s="34"/>
      <c r="F171" s="34"/>
      <c r="G171" s="35" t="str">
        <f t="shared" ref="G171:G200" si="10">IF(OR(C171="-",C171="N/A",C171=""),"-",C171-IF(E171="",0,E171)+IF(F171="",0,F171))</f>
        <v>-</v>
      </c>
      <c r="H171" s="36" t="str">
        <f t="shared" ref="H171:H200" si="11">IF(OR(G171="-",G171="N/A",G171=""),"N/A",IF(OR(AND(B171="S1 Warm White 18mm",G171&lt;30),AND(B171="18mm Plain",G171&lt;30),AND(B171="MR White 18mm",G171&lt;15),AND(B171="MR Plain 18mm",G171&lt;15),AND(B171="9mm Plain",G171&lt;15)),"RESTOCK NOW",IF(AND(NOT(OR(B171="S1 Warm White 18mm",B171="18mm Plain",B171="MR White 18mm",B171="MR Plain 18mm",B171="9mm Plain")),G171=0),"OUT OF STOCK","OK")))</f>
        <v>N/A</v>
      </c>
    </row>
    <row r="172" spans="1:8" ht="15" customHeight="1">
      <c r="A172" s="27"/>
      <c r="B172" s="28"/>
      <c r="C172" s="27"/>
      <c r="D172" s="28"/>
      <c r="E172" s="29"/>
      <c r="F172" s="29"/>
      <c r="G172" s="30" t="str">
        <f t="shared" si="10"/>
        <v>-</v>
      </c>
      <c r="H172" s="31" t="str">
        <f t="shared" si="11"/>
        <v>N/A</v>
      </c>
    </row>
    <row r="173" spans="1:8" ht="15" customHeight="1">
      <c r="A173" s="32"/>
      <c r="B173" s="33"/>
      <c r="C173" s="32"/>
      <c r="D173" s="33"/>
      <c r="E173" s="34"/>
      <c r="F173" s="34"/>
      <c r="G173" s="35" t="str">
        <f t="shared" si="10"/>
        <v>-</v>
      </c>
      <c r="H173" s="36" t="str">
        <f t="shared" si="11"/>
        <v>N/A</v>
      </c>
    </row>
    <row r="174" spans="1:8" ht="15" customHeight="1">
      <c r="A174" s="27"/>
      <c r="B174" s="28"/>
      <c r="C174" s="27"/>
      <c r="D174" s="28"/>
      <c r="E174" s="29"/>
      <c r="F174" s="29"/>
      <c r="G174" s="30" t="str">
        <f t="shared" si="10"/>
        <v>-</v>
      </c>
      <c r="H174" s="31" t="str">
        <f t="shared" si="11"/>
        <v>N/A</v>
      </c>
    </row>
    <row r="175" spans="1:8" ht="15" customHeight="1">
      <c r="A175" s="32"/>
      <c r="B175" s="33"/>
      <c r="C175" s="32"/>
      <c r="D175" s="33"/>
      <c r="E175" s="34"/>
      <c r="F175" s="34"/>
      <c r="G175" s="35" t="str">
        <f t="shared" si="10"/>
        <v>-</v>
      </c>
      <c r="H175" s="36" t="str">
        <f t="shared" si="11"/>
        <v>N/A</v>
      </c>
    </row>
    <row r="176" spans="1:8" ht="15" customHeight="1">
      <c r="A176" s="27"/>
      <c r="B176" s="28"/>
      <c r="C176" s="27"/>
      <c r="D176" s="28"/>
      <c r="E176" s="29"/>
      <c r="F176" s="29"/>
      <c r="G176" s="30" t="str">
        <f t="shared" si="10"/>
        <v>-</v>
      </c>
      <c r="H176" s="31" t="str">
        <f t="shared" si="11"/>
        <v>N/A</v>
      </c>
    </row>
    <row r="177" spans="1:8" ht="15" customHeight="1">
      <c r="A177" s="32"/>
      <c r="B177" s="33"/>
      <c r="C177" s="32"/>
      <c r="D177" s="33"/>
      <c r="E177" s="34"/>
      <c r="F177" s="34"/>
      <c r="G177" s="35" t="str">
        <f t="shared" si="10"/>
        <v>-</v>
      </c>
      <c r="H177" s="36" t="str">
        <f t="shared" si="11"/>
        <v>N/A</v>
      </c>
    </row>
    <row r="178" spans="1:8" ht="15" customHeight="1">
      <c r="A178" s="27"/>
      <c r="B178" s="28"/>
      <c r="C178" s="27"/>
      <c r="D178" s="28"/>
      <c r="E178" s="29"/>
      <c r="F178" s="29"/>
      <c r="G178" s="30" t="str">
        <f t="shared" si="10"/>
        <v>-</v>
      </c>
      <c r="H178" s="31" t="str">
        <f t="shared" si="11"/>
        <v>N/A</v>
      </c>
    </row>
    <row r="179" spans="1:8" ht="15" customHeight="1">
      <c r="A179" s="32"/>
      <c r="B179" s="33"/>
      <c r="C179" s="32"/>
      <c r="D179" s="33"/>
      <c r="E179" s="34"/>
      <c r="F179" s="34"/>
      <c r="G179" s="35" t="str">
        <f t="shared" si="10"/>
        <v>-</v>
      </c>
      <c r="H179" s="36" t="str">
        <f t="shared" si="11"/>
        <v>N/A</v>
      </c>
    </row>
    <row r="180" spans="1:8" ht="15" customHeight="1">
      <c r="A180" s="27"/>
      <c r="B180" s="28"/>
      <c r="C180" s="27"/>
      <c r="D180" s="28"/>
      <c r="E180" s="29"/>
      <c r="F180" s="29"/>
      <c r="G180" s="30" t="str">
        <f t="shared" si="10"/>
        <v>-</v>
      </c>
      <c r="H180" s="31" t="str">
        <f t="shared" si="11"/>
        <v>N/A</v>
      </c>
    </row>
    <row r="181" spans="1:8" ht="15" customHeight="1">
      <c r="A181" s="32"/>
      <c r="B181" s="33"/>
      <c r="C181" s="32"/>
      <c r="D181" s="33"/>
      <c r="E181" s="34"/>
      <c r="F181" s="34"/>
      <c r="G181" s="35" t="str">
        <f t="shared" si="10"/>
        <v>-</v>
      </c>
      <c r="H181" s="36" t="str">
        <f t="shared" si="11"/>
        <v>N/A</v>
      </c>
    </row>
    <row r="182" spans="1:8" ht="15" customHeight="1">
      <c r="A182" s="27"/>
      <c r="B182" s="28"/>
      <c r="C182" s="27"/>
      <c r="D182" s="28"/>
      <c r="E182" s="29"/>
      <c r="F182" s="29"/>
      <c r="G182" s="30" t="str">
        <f t="shared" si="10"/>
        <v>-</v>
      </c>
      <c r="H182" s="31" t="str">
        <f t="shared" si="11"/>
        <v>N/A</v>
      </c>
    </row>
    <row r="183" spans="1:8" ht="15" customHeight="1">
      <c r="A183" s="32"/>
      <c r="B183" s="33"/>
      <c r="C183" s="32"/>
      <c r="D183" s="33"/>
      <c r="E183" s="34"/>
      <c r="F183" s="34"/>
      <c r="G183" s="35" t="str">
        <f t="shared" si="10"/>
        <v>-</v>
      </c>
      <c r="H183" s="36" t="str">
        <f t="shared" si="11"/>
        <v>N/A</v>
      </c>
    </row>
    <row r="184" spans="1:8" ht="15" customHeight="1">
      <c r="A184" s="27"/>
      <c r="B184" s="28"/>
      <c r="C184" s="27"/>
      <c r="D184" s="28"/>
      <c r="E184" s="29"/>
      <c r="F184" s="29"/>
      <c r="G184" s="30" t="str">
        <f t="shared" si="10"/>
        <v>-</v>
      </c>
      <c r="H184" s="31" t="str">
        <f t="shared" si="11"/>
        <v>N/A</v>
      </c>
    </row>
    <row r="185" spans="1:8" ht="15" customHeight="1">
      <c r="A185" s="32"/>
      <c r="B185" s="33"/>
      <c r="C185" s="32"/>
      <c r="D185" s="33"/>
      <c r="E185" s="34"/>
      <c r="F185" s="34"/>
      <c r="G185" s="35" t="str">
        <f t="shared" si="10"/>
        <v>-</v>
      </c>
      <c r="H185" s="36" t="str">
        <f t="shared" si="11"/>
        <v>N/A</v>
      </c>
    </row>
    <row r="186" spans="1:8" ht="15" customHeight="1">
      <c r="A186" s="27"/>
      <c r="B186" s="28"/>
      <c r="C186" s="27"/>
      <c r="D186" s="28"/>
      <c r="E186" s="29"/>
      <c r="F186" s="29"/>
      <c r="G186" s="30" t="str">
        <f t="shared" si="10"/>
        <v>-</v>
      </c>
      <c r="H186" s="31" t="str">
        <f t="shared" si="11"/>
        <v>N/A</v>
      </c>
    </row>
    <row r="187" spans="1:8" ht="15" customHeight="1">
      <c r="A187" s="32"/>
      <c r="B187" s="33"/>
      <c r="C187" s="32"/>
      <c r="D187" s="33"/>
      <c r="E187" s="34"/>
      <c r="F187" s="34"/>
      <c r="G187" s="35" t="str">
        <f t="shared" si="10"/>
        <v>-</v>
      </c>
      <c r="H187" s="36" t="str">
        <f t="shared" si="11"/>
        <v>N/A</v>
      </c>
    </row>
    <row r="188" spans="1:8" ht="15" customHeight="1">
      <c r="A188" s="27"/>
      <c r="B188" s="28"/>
      <c r="C188" s="27"/>
      <c r="D188" s="28"/>
      <c r="E188" s="29"/>
      <c r="F188" s="29"/>
      <c r="G188" s="30" t="str">
        <f t="shared" si="10"/>
        <v>-</v>
      </c>
      <c r="H188" s="31" t="str">
        <f t="shared" si="11"/>
        <v>N/A</v>
      </c>
    </row>
    <row r="189" spans="1:8" ht="15" customHeight="1">
      <c r="A189" s="32"/>
      <c r="B189" s="33"/>
      <c r="C189" s="32"/>
      <c r="D189" s="33"/>
      <c r="E189" s="34"/>
      <c r="F189" s="34"/>
      <c r="G189" s="35" t="str">
        <f t="shared" si="10"/>
        <v>-</v>
      </c>
      <c r="H189" s="36" t="str">
        <f t="shared" si="11"/>
        <v>N/A</v>
      </c>
    </row>
    <row r="190" spans="1:8" ht="15" customHeight="1">
      <c r="A190" s="27"/>
      <c r="B190" s="28"/>
      <c r="C190" s="27"/>
      <c r="D190" s="28"/>
      <c r="E190" s="29"/>
      <c r="F190" s="29"/>
      <c r="G190" s="30" t="str">
        <f t="shared" si="10"/>
        <v>-</v>
      </c>
      <c r="H190" s="31" t="str">
        <f t="shared" si="11"/>
        <v>N/A</v>
      </c>
    </row>
    <row r="191" spans="1:8" ht="15" customHeight="1">
      <c r="A191" s="32"/>
      <c r="B191" s="33"/>
      <c r="C191" s="32"/>
      <c r="D191" s="33"/>
      <c r="E191" s="34"/>
      <c r="F191" s="34"/>
      <c r="G191" s="35" t="str">
        <f t="shared" si="10"/>
        <v>-</v>
      </c>
      <c r="H191" s="36" t="str">
        <f t="shared" si="11"/>
        <v>N/A</v>
      </c>
    </row>
    <row r="192" spans="1:8" ht="15" customHeight="1">
      <c r="A192" s="27"/>
      <c r="B192" s="28"/>
      <c r="C192" s="27"/>
      <c r="D192" s="28"/>
      <c r="E192" s="29"/>
      <c r="F192" s="29"/>
      <c r="G192" s="30" t="str">
        <f t="shared" si="10"/>
        <v>-</v>
      </c>
      <c r="H192" s="31" t="str">
        <f t="shared" si="11"/>
        <v>N/A</v>
      </c>
    </row>
    <row r="193" spans="1:8" ht="15" customHeight="1">
      <c r="A193" s="32"/>
      <c r="B193" s="33"/>
      <c r="C193" s="32"/>
      <c r="D193" s="33"/>
      <c r="E193" s="34"/>
      <c r="F193" s="34"/>
      <c r="G193" s="35" t="str">
        <f t="shared" si="10"/>
        <v>-</v>
      </c>
      <c r="H193" s="36" t="str">
        <f t="shared" si="11"/>
        <v>N/A</v>
      </c>
    </row>
    <row r="194" spans="1:8" ht="15" customHeight="1">
      <c r="A194" s="27"/>
      <c r="B194" s="28"/>
      <c r="C194" s="27"/>
      <c r="D194" s="28"/>
      <c r="E194" s="29"/>
      <c r="F194" s="29"/>
      <c r="G194" s="30" t="str">
        <f t="shared" si="10"/>
        <v>-</v>
      </c>
      <c r="H194" s="31" t="str">
        <f t="shared" si="11"/>
        <v>N/A</v>
      </c>
    </row>
    <row r="195" spans="1:8" ht="15" customHeight="1">
      <c r="A195" s="32"/>
      <c r="B195" s="33"/>
      <c r="C195" s="32"/>
      <c r="D195" s="33"/>
      <c r="E195" s="34"/>
      <c r="F195" s="34"/>
      <c r="G195" s="35" t="str">
        <f t="shared" si="10"/>
        <v>-</v>
      </c>
      <c r="H195" s="36" t="str">
        <f t="shared" si="11"/>
        <v>N/A</v>
      </c>
    </row>
    <row r="196" spans="1:8" ht="15" customHeight="1">
      <c r="A196" s="27"/>
      <c r="B196" s="28"/>
      <c r="C196" s="27"/>
      <c r="D196" s="28"/>
      <c r="E196" s="29"/>
      <c r="F196" s="29"/>
      <c r="G196" s="30" t="str">
        <f t="shared" si="10"/>
        <v>-</v>
      </c>
      <c r="H196" s="31" t="str">
        <f t="shared" si="11"/>
        <v>N/A</v>
      </c>
    </row>
    <row r="197" spans="1:8" ht="15" customHeight="1">
      <c r="A197" s="32"/>
      <c r="B197" s="33"/>
      <c r="C197" s="32"/>
      <c r="D197" s="33"/>
      <c r="E197" s="34"/>
      <c r="F197" s="34"/>
      <c r="G197" s="35" t="str">
        <f t="shared" si="10"/>
        <v>-</v>
      </c>
      <c r="H197" s="36" t="str">
        <f t="shared" si="11"/>
        <v>N/A</v>
      </c>
    </row>
    <row r="198" spans="1:8" ht="15" customHeight="1">
      <c r="A198" s="27"/>
      <c r="B198" s="28"/>
      <c r="C198" s="27"/>
      <c r="D198" s="28"/>
      <c r="E198" s="29"/>
      <c r="F198" s="29"/>
      <c r="G198" s="30" t="str">
        <f t="shared" si="10"/>
        <v>-</v>
      </c>
      <c r="H198" s="31" t="str">
        <f t="shared" si="11"/>
        <v>N/A</v>
      </c>
    </row>
    <row r="199" spans="1:8" ht="15" customHeight="1">
      <c r="A199" s="32"/>
      <c r="B199" s="33"/>
      <c r="C199" s="32"/>
      <c r="D199" s="33"/>
      <c r="E199" s="34"/>
      <c r="F199" s="34"/>
      <c r="G199" s="35" t="str">
        <f t="shared" si="10"/>
        <v>-</v>
      </c>
      <c r="H199" s="36" t="str">
        <f t="shared" si="11"/>
        <v>N/A</v>
      </c>
    </row>
    <row r="200" spans="1:8" ht="15" customHeight="1">
      <c r="A200" s="27"/>
      <c r="B200" s="28"/>
      <c r="C200" s="27"/>
      <c r="D200" s="28"/>
      <c r="E200" s="29"/>
      <c r="F200" s="29"/>
      <c r="G200" s="30" t="str">
        <f t="shared" si="10"/>
        <v>-</v>
      </c>
      <c r="H200" s="31" t="str">
        <f t="shared" si="11"/>
        <v>N/A</v>
      </c>
    </row>
  </sheetData>
  <conditionalFormatting sqref="G11:G200">
    <cfRule type="expression" dxfId="13" priority="11">
      <formula>AND(OR($B11="S1 Warm White 18mm",$B11="18mm Plain"),ISNUMBER($G11),$G11&lt;30)</formula>
    </cfRule>
  </conditionalFormatting>
  <conditionalFormatting sqref="G11:G200">
    <cfRule type="expression" dxfId="12" priority="10">
      <formula>AND(OR($B11="S1 Warm White 18mm",$B11="18mm Plain"),ISNUMBER($G11),$G11&gt;=30,$G11&lt;=40)</formula>
    </cfRule>
  </conditionalFormatting>
  <conditionalFormatting sqref="G11:G200">
    <cfRule type="expression" dxfId="11" priority="9">
      <formula>AND(OR($B11="S1 Warm White 18mm",$B11="18mm Plain"),ISNUMBER($G11),$G11&gt;40)</formula>
    </cfRule>
  </conditionalFormatting>
  <conditionalFormatting sqref="G11:G200">
    <cfRule type="expression" dxfId="10" priority="8">
      <formula>AND(OR($B11="MR White 18mm",$B11="MR Plain 18mm",$B11="9mm Plain"),ISNUMBER($G11),$G11&lt;15)</formula>
    </cfRule>
  </conditionalFormatting>
  <conditionalFormatting sqref="G11:G200">
    <cfRule type="expression" dxfId="9" priority="7">
      <formula>AND(OR($B11="MR White 18mm",$B11="MR Plain 18mm",$B11="9mm Plain"),ISNUMBER($G11),$G11&gt;=15,$G11&lt;=20)</formula>
    </cfRule>
  </conditionalFormatting>
  <conditionalFormatting sqref="G11:G200">
    <cfRule type="expression" dxfId="8" priority="6">
      <formula>AND(OR($B11="MR White 18mm",$B11="MR Plain 18mm",$B11="9mm Plain"),ISNUMBER($G11),$G11&gt;20)</formula>
    </cfRule>
  </conditionalFormatting>
  <conditionalFormatting sqref="G11:G200">
    <cfRule type="expression" dxfId="7" priority="5">
      <formula>AND(NOT(OR($B11="S1 Warm White 18mm",$B11="18mm Plain",$B11="MR White 18mm",$B11="MR Plain 18mm",$B11="9mm Plain")),ISNUMBER($G11),$G11=0)</formula>
    </cfRule>
  </conditionalFormatting>
  <conditionalFormatting sqref="G11:G200">
    <cfRule type="expression" dxfId="6" priority="4">
      <formula>AND(NOT(OR($B11="S1 Warm White 18mm",$B11="18mm Plain",$B11="MR White 18mm",$B11="MR Plain 18mm",$B11="9mm Plain")),ISNUMBER($G11),$G11&gt;0)</formula>
    </cfRule>
  </conditionalFormatting>
  <conditionalFormatting sqref="H11:H200">
    <cfRule type="containsText" dxfId="5" priority="3" operator="containsText" text="RESTOCK NOW">
      <formula>NOT(ISERROR(SEARCH("RESTOCK NOW",H11)))</formula>
    </cfRule>
  </conditionalFormatting>
  <conditionalFormatting sqref="H11:H200">
    <cfRule type="containsText" dxfId="4" priority="2" operator="containsText" text="OUT OF STOCK">
      <formula>NOT(ISERROR(SEARCH("OUT OF STOCK",H11)))</formula>
    </cfRule>
  </conditionalFormatting>
  <conditionalFormatting sqref="H11:H200">
    <cfRule type="containsText" dxfId="3" priority="1" operator="containsText" text="OK">
      <formula>NOT(ISERROR(SEARCH("OK",H11)))</formula>
    </cfRule>
  </conditionalFormatting>
  <pageMargins left="0.75" right="0.75" top="1" bottom="1" header="0.5" footer="0.5"/>
  <pageSetup orientation="portrait"/>
  <headerFooter>
    <oddHeader>&amp;L&amp;C&amp;R</oddHeader>
    <oddFooter>&amp;L&amp;C&amp;R</oddFooter>
  </headerFooter>
  <ignoredErrors>
    <ignoredError sqref="B50 B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8"/>
  <sheetViews>
    <sheetView zoomScale="90" workbookViewId="0">
      <pane ySplit="1" topLeftCell="A131" activePane="bottomLeft" state="frozen"/>
      <selection pane="bottomLeft" activeCell="B160" sqref="B160"/>
    </sheetView>
  </sheetViews>
  <sheetFormatPr defaultColWidth="8.85546875" defaultRowHeight="15" customHeight="1"/>
  <cols>
    <col min="1" max="1" width="12.140625" style="37" customWidth="1"/>
    <col min="2" max="2" width="35.7109375" style="37" customWidth="1"/>
    <col min="3" max="3" width="26.85546875" style="37" customWidth="1"/>
    <col min="4" max="4" width="10" style="37" customWidth="1"/>
    <col min="5" max="5" width="21.7109375" style="37" customWidth="1"/>
    <col min="6" max="6" width="23.28515625" style="37" customWidth="1"/>
    <col min="7" max="7" width="23.42578125" style="37" customWidth="1"/>
    <col min="8" max="8" width="22.85546875" style="37" customWidth="1"/>
    <col min="9" max="10" width="22.7109375" style="37" customWidth="1"/>
    <col min="11" max="11" width="24.7109375" style="37" customWidth="1"/>
    <col min="12" max="12" width="21" style="37" customWidth="1"/>
    <col min="13" max="13" width="22.140625" style="37" customWidth="1"/>
    <col min="14" max="14" width="22.5703125" style="37" customWidth="1"/>
    <col min="15" max="15" width="40.140625" style="37" bestFit="1" customWidth="1"/>
    <col min="16" max="16384" width="8.85546875" style="37"/>
  </cols>
  <sheetData>
    <row r="1" spans="1:16" ht="15" customHeight="1">
      <c r="A1" s="59" t="s">
        <v>223</v>
      </c>
      <c r="B1" s="58" t="s">
        <v>222</v>
      </c>
      <c r="C1" s="58" t="s">
        <v>221</v>
      </c>
      <c r="D1" s="37" t="s">
        <v>220</v>
      </c>
      <c r="E1" s="58" t="s">
        <v>219</v>
      </c>
      <c r="F1" s="58" t="s">
        <v>218</v>
      </c>
      <c r="G1" s="58" t="s">
        <v>11</v>
      </c>
      <c r="H1" s="58" t="s">
        <v>217</v>
      </c>
      <c r="I1" s="58" t="s">
        <v>216</v>
      </c>
      <c r="J1" s="58" t="s">
        <v>215</v>
      </c>
      <c r="K1" s="58" t="s">
        <v>214</v>
      </c>
      <c r="L1" s="58" t="s">
        <v>213</v>
      </c>
      <c r="M1" s="58" t="s">
        <v>212</v>
      </c>
      <c r="N1" s="57" t="s">
        <v>6</v>
      </c>
      <c r="O1" s="37" t="s">
        <v>244</v>
      </c>
      <c r="P1" s="37" t="s">
        <v>39</v>
      </c>
    </row>
    <row r="2" spans="1:16" ht="15" customHeight="1">
      <c r="A2" s="64">
        <v>6001</v>
      </c>
      <c r="B2" s="51" t="s">
        <v>211</v>
      </c>
      <c r="C2" s="49">
        <v>55</v>
      </c>
      <c r="D2" s="48" t="s">
        <v>42</v>
      </c>
      <c r="E2" s="48" t="s">
        <v>206</v>
      </c>
      <c r="F2" s="49">
        <v>0</v>
      </c>
      <c r="G2" s="49">
        <v>31</v>
      </c>
      <c r="H2" s="49"/>
      <c r="I2" s="50">
        <f t="shared" ref="I2:I33" si="0">C2+F2-G2</f>
        <v>24</v>
      </c>
      <c r="J2" s="49"/>
      <c r="K2" s="42">
        <f t="shared" ref="K2:K33" si="1">I2*J2</f>
        <v>0</v>
      </c>
      <c r="L2" s="49">
        <v>0</v>
      </c>
      <c r="M2" s="48" t="str">
        <f t="shared" ref="M2:M33" si="2">IF(I2&lt;=L2,"YES","NO")</f>
        <v>NO</v>
      </c>
      <c r="N2" s="47">
        <f t="shared" ref="N2:N20" ca="1" si="3">IF(OR(F2&lt;&gt;0,G2&lt;&gt;0),TODAY(),"")</f>
        <v>46178</v>
      </c>
    </row>
    <row r="3" spans="1:16" ht="15" customHeight="1">
      <c r="A3" s="64">
        <v>6002</v>
      </c>
      <c r="B3" s="46" t="s">
        <v>210</v>
      </c>
      <c r="C3" s="54">
        <v>35</v>
      </c>
      <c r="D3" s="53" t="s">
        <v>42</v>
      </c>
      <c r="E3" s="53" t="s">
        <v>206</v>
      </c>
      <c r="F3" s="44">
        <v>0</v>
      </c>
      <c r="G3" s="44">
        <v>8</v>
      </c>
      <c r="H3" s="54"/>
      <c r="I3" s="44">
        <f t="shared" si="0"/>
        <v>27</v>
      </c>
      <c r="J3" s="54"/>
      <c r="K3" s="42">
        <f t="shared" si="1"/>
        <v>0</v>
      </c>
      <c r="L3" s="44">
        <v>0</v>
      </c>
      <c r="M3" s="44" t="str">
        <f t="shared" si="2"/>
        <v>NO</v>
      </c>
      <c r="N3" s="52">
        <f t="shared" ca="1" si="3"/>
        <v>46178</v>
      </c>
    </row>
    <row r="4" spans="1:16" ht="15" customHeight="1">
      <c r="A4" s="64">
        <v>6003</v>
      </c>
      <c r="B4" s="51" t="s">
        <v>209</v>
      </c>
      <c r="C4" s="49">
        <v>17</v>
      </c>
      <c r="D4" s="48" t="s">
        <v>42</v>
      </c>
      <c r="E4" s="48" t="s">
        <v>206</v>
      </c>
      <c r="F4" s="49">
        <v>0</v>
      </c>
      <c r="G4" s="49">
        <v>7</v>
      </c>
      <c r="H4" s="49"/>
      <c r="I4" s="50">
        <f t="shared" si="0"/>
        <v>10</v>
      </c>
      <c r="J4" s="49"/>
      <c r="K4" s="42">
        <f t="shared" si="1"/>
        <v>0</v>
      </c>
      <c r="L4" s="49">
        <v>0</v>
      </c>
      <c r="M4" s="48" t="str">
        <f t="shared" si="2"/>
        <v>NO</v>
      </c>
      <c r="N4" s="47">
        <f t="shared" ca="1" si="3"/>
        <v>46178</v>
      </c>
    </row>
    <row r="5" spans="1:16" ht="15" customHeight="1">
      <c r="A5" s="64">
        <v>6004</v>
      </c>
      <c r="B5" s="46" t="s">
        <v>208</v>
      </c>
      <c r="C5" s="54">
        <v>4</v>
      </c>
      <c r="D5" s="53" t="s">
        <v>42</v>
      </c>
      <c r="E5" s="53" t="s">
        <v>206</v>
      </c>
      <c r="F5" s="44">
        <v>0</v>
      </c>
      <c r="G5" s="44">
        <v>0</v>
      </c>
      <c r="H5" s="54"/>
      <c r="I5" s="44">
        <f t="shared" si="0"/>
        <v>4</v>
      </c>
      <c r="J5" s="54"/>
      <c r="K5" s="42">
        <f t="shared" si="1"/>
        <v>0</v>
      </c>
      <c r="L5" s="44">
        <v>0</v>
      </c>
      <c r="M5" s="44" t="str">
        <f t="shared" si="2"/>
        <v>NO</v>
      </c>
      <c r="N5" s="52" t="str">
        <f t="shared" ca="1" si="3"/>
        <v/>
      </c>
    </row>
    <row r="6" spans="1:16" ht="15" customHeight="1">
      <c r="A6" s="64">
        <v>6005</v>
      </c>
      <c r="B6" s="51" t="s">
        <v>207</v>
      </c>
      <c r="C6" s="49">
        <v>10</v>
      </c>
      <c r="D6" s="48" t="s">
        <v>42</v>
      </c>
      <c r="E6" s="48" t="s">
        <v>206</v>
      </c>
      <c r="F6" s="49">
        <v>0</v>
      </c>
      <c r="G6" s="49">
        <v>0</v>
      </c>
      <c r="H6" s="49"/>
      <c r="I6" s="50">
        <f t="shared" si="0"/>
        <v>10</v>
      </c>
      <c r="J6" s="49"/>
      <c r="K6" s="42">
        <f t="shared" si="1"/>
        <v>0</v>
      </c>
      <c r="L6" s="41">
        <v>0</v>
      </c>
      <c r="M6" s="41" t="str">
        <f t="shared" si="2"/>
        <v>NO</v>
      </c>
      <c r="N6" s="47" t="str">
        <f t="shared" ca="1" si="3"/>
        <v/>
      </c>
    </row>
    <row r="7" spans="1:16" ht="15" customHeight="1">
      <c r="A7" s="64">
        <v>6006</v>
      </c>
      <c r="B7" s="46" t="s">
        <v>205</v>
      </c>
      <c r="C7" s="54">
        <v>47</v>
      </c>
      <c r="D7" s="37" t="s">
        <v>233</v>
      </c>
      <c r="E7" s="53" t="s">
        <v>185</v>
      </c>
      <c r="F7" s="44">
        <v>0</v>
      </c>
      <c r="G7" s="44">
        <v>0</v>
      </c>
      <c r="H7" s="54"/>
      <c r="I7" s="44">
        <f t="shared" si="0"/>
        <v>47</v>
      </c>
      <c r="J7" s="54"/>
      <c r="K7" s="42">
        <f t="shared" si="1"/>
        <v>0</v>
      </c>
      <c r="L7" s="44">
        <v>0</v>
      </c>
      <c r="M7" s="44" t="str">
        <f t="shared" si="2"/>
        <v>NO</v>
      </c>
      <c r="N7" s="52" t="str">
        <f t="shared" ca="1" si="3"/>
        <v/>
      </c>
    </row>
    <row r="8" spans="1:16" ht="15" customHeight="1">
      <c r="A8" s="64">
        <v>6007</v>
      </c>
      <c r="B8" s="51" t="s">
        <v>204</v>
      </c>
      <c r="C8" s="49">
        <v>11</v>
      </c>
      <c r="D8" s="48" t="s">
        <v>233</v>
      </c>
      <c r="E8" s="48" t="s">
        <v>96</v>
      </c>
      <c r="F8" s="49">
        <v>0</v>
      </c>
      <c r="G8" s="49">
        <v>0</v>
      </c>
      <c r="H8" s="49"/>
      <c r="I8" s="50">
        <f t="shared" si="0"/>
        <v>11</v>
      </c>
      <c r="J8" s="49"/>
      <c r="K8" s="42">
        <f t="shared" si="1"/>
        <v>0</v>
      </c>
      <c r="L8" s="49">
        <v>0</v>
      </c>
      <c r="M8" s="48" t="str">
        <f t="shared" si="2"/>
        <v>NO</v>
      </c>
      <c r="N8" s="47" t="str">
        <f t="shared" ca="1" si="3"/>
        <v/>
      </c>
    </row>
    <row r="9" spans="1:16" ht="15" customHeight="1">
      <c r="A9" s="64">
        <v>6008</v>
      </c>
      <c r="B9" s="46" t="s">
        <v>203</v>
      </c>
      <c r="C9" s="54">
        <v>13</v>
      </c>
      <c r="D9" s="37" t="s">
        <v>233</v>
      </c>
      <c r="E9" s="53" t="s">
        <v>185</v>
      </c>
      <c r="F9" s="44">
        <v>0</v>
      </c>
      <c r="G9" s="44">
        <v>13</v>
      </c>
      <c r="H9" s="54"/>
      <c r="I9" s="44">
        <f t="shared" si="0"/>
        <v>0</v>
      </c>
      <c r="J9" s="54"/>
      <c r="K9" s="42">
        <f t="shared" si="1"/>
        <v>0</v>
      </c>
      <c r="L9" s="44">
        <v>0</v>
      </c>
      <c r="M9" s="44" t="str">
        <f t="shared" si="2"/>
        <v>YES</v>
      </c>
      <c r="N9" s="52">
        <f t="shared" ca="1" si="3"/>
        <v>46178</v>
      </c>
    </row>
    <row r="10" spans="1:16" ht="15" customHeight="1">
      <c r="A10" s="64">
        <v>6009</v>
      </c>
      <c r="B10" s="51" t="s">
        <v>202</v>
      </c>
      <c r="C10" s="49">
        <v>0</v>
      </c>
      <c r="D10" s="48" t="s">
        <v>233</v>
      </c>
      <c r="E10" s="48"/>
      <c r="F10" s="49">
        <v>0</v>
      </c>
      <c r="G10" s="49">
        <v>0</v>
      </c>
      <c r="H10" s="49"/>
      <c r="I10" s="50">
        <f t="shared" si="0"/>
        <v>0</v>
      </c>
      <c r="J10" s="49"/>
      <c r="K10" s="42">
        <f t="shared" si="1"/>
        <v>0</v>
      </c>
      <c r="L10" s="49">
        <v>0</v>
      </c>
      <c r="M10" s="48" t="str">
        <f t="shared" si="2"/>
        <v>YES</v>
      </c>
      <c r="N10" s="47" t="str">
        <f t="shared" ca="1" si="3"/>
        <v/>
      </c>
    </row>
    <row r="11" spans="1:16" ht="15" customHeight="1">
      <c r="A11" s="64">
        <v>6010</v>
      </c>
      <c r="B11" s="46" t="s">
        <v>201</v>
      </c>
      <c r="C11" s="54">
        <v>41</v>
      </c>
      <c r="D11" s="37" t="s">
        <v>233</v>
      </c>
      <c r="E11" s="53" t="s">
        <v>188</v>
      </c>
      <c r="F11" s="44">
        <v>0</v>
      </c>
      <c r="G11" s="44">
        <v>0</v>
      </c>
      <c r="H11" s="54"/>
      <c r="I11" s="44">
        <f t="shared" si="0"/>
        <v>41</v>
      </c>
      <c r="J11" s="54"/>
      <c r="K11" s="42">
        <f t="shared" si="1"/>
        <v>0</v>
      </c>
      <c r="L11" s="44">
        <v>0</v>
      </c>
      <c r="M11" s="44" t="str">
        <f t="shared" si="2"/>
        <v>NO</v>
      </c>
      <c r="N11" s="52" t="str">
        <f t="shared" ca="1" si="3"/>
        <v/>
      </c>
    </row>
    <row r="12" spans="1:16" ht="15" customHeight="1">
      <c r="A12" s="64">
        <v>6011</v>
      </c>
      <c r="B12" s="51" t="s">
        <v>200</v>
      </c>
      <c r="C12" s="49">
        <v>12</v>
      </c>
      <c r="D12" s="48" t="s">
        <v>233</v>
      </c>
      <c r="E12" s="48"/>
      <c r="F12" s="49">
        <v>0</v>
      </c>
      <c r="G12" s="49">
        <v>0</v>
      </c>
      <c r="H12" s="49"/>
      <c r="I12" s="50">
        <f t="shared" si="0"/>
        <v>12</v>
      </c>
      <c r="J12" s="49"/>
      <c r="K12" s="42">
        <f t="shared" si="1"/>
        <v>0</v>
      </c>
      <c r="L12" s="49">
        <v>0</v>
      </c>
      <c r="M12" s="48" t="str">
        <f t="shared" si="2"/>
        <v>NO</v>
      </c>
      <c r="N12" s="47" t="str">
        <f t="shared" ca="1" si="3"/>
        <v/>
      </c>
    </row>
    <row r="13" spans="1:16" ht="15" customHeight="1">
      <c r="A13" s="64">
        <v>6012</v>
      </c>
      <c r="B13" s="46" t="s">
        <v>199</v>
      </c>
      <c r="C13" s="54">
        <v>0</v>
      </c>
      <c r="D13" s="37" t="s">
        <v>233</v>
      </c>
      <c r="E13" s="53"/>
      <c r="F13" s="44">
        <v>0</v>
      </c>
      <c r="G13" s="44">
        <v>0</v>
      </c>
      <c r="H13" s="54"/>
      <c r="I13" s="50">
        <f t="shared" si="0"/>
        <v>0</v>
      </c>
      <c r="J13" s="54"/>
      <c r="K13" s="42">
        <f t="shared" si="1"/>
        <v>0</v>
      </c>
      <c r="L13" s="44">
        <v>0</v>
      </c>
      <c r="M13" s="44" t="str">
        <f t="shared" si="2"/>
        <v>YES</v>
      </c>
      <c r="N13" s="52" t="str">
        <f t="shared" ca="1" si="3"/>
        <v/>
      </c>
    </row>
    <row r="14" spans="1:16" ht="15" customHeight="1">
      <c r="A14" s="64">
        <v>6013</v>
      </c>
      <c r="B14" s="51" t="s">
        <v>198</v>
      </c>
      <c r="C14" s="49">
        <v>22</v>
      </c>
      <c r="D14" s="48" t="s">
        <v>233</v>
      </c>
      <c r="E14" s="48" t="s">
        <v>185</v>
      </c>
      <c r="F14" s="49">
        <v>0</v>
      </c>
      <c r="G14" s="49">
        <v>3</v>
      </c>
      <c r="H14" s="49"/>
      <c r="I14" s="50">
        <f t="shared" si="0"/>
        <v>19</v>
      </c>
      <c r="J14" s="49"/>
      <c r="K14" s="42">
        <f t="shared" si="1"/>
        <v>0</v>
      </c>
      <c r="L14" s="49">
        <v>0</v>
      </c>
      <c r="M14" s="48" t="str">
        <f t="shared" si="2"/>
        <v>NO</v>
      </c>
      <c r="N14" s="47">
        <f t="shared" ca="1" si="3"/>
        <v>46178</v>
      </c>
    </row>
    <row r="15" spans="1:16" ht="15" customHeight="1">
      <c r="A15" s="64">
        <v>6014</v>
      </c>
      <c r="B15" s="46" t="s">
        <v>197</v>
      </c>
      <c r="C15" s="54">
        <v>51</v>
      </c>
      <c r="D15" s="37" t="s">
        <v>233</v>
      </c>
      <c r="E15" s="53" t="s">
        <v>185</v>
      </c>
      <c r="F15" s="44">
        <v>0</v>
      </c>
      <c r="G15" s="44">
        <v>0</v>
      </c>
      <c r="H15" s="54"/>
      <c r="I15" s="44">
        <f t="shared" si="0"/>
        <v>51</v>
      </c>
      <c r="J15" s="54"/>
      <c r="K15" s="42">
        <f t="shared" si="1"/>
        <v>0</v>
      </c>
      <c r="L15" s="44">
        <v>0</v>
      </c>
      <c r="M15" s="44" t="str">
        <f t="shared" si="2"/>
        <v>NO</v>
      </c>
      <c r="N15" s="52" t="str">
        <f t="shared" ca="1" si="3"/>
        <v/>
      </c>
    </row>
    <row r="16" spans="1:16" ht="15" customHeight="1">
      <c r="A16" s="64">
        <v>6015</v>
      </c>
      <c r="B16" s="51" t="s">
        <v>196</v>
      </c>
      <c r="C16" s="49">
        <v>32</v>
      </c>
      <c r="D16" s="48" t="s">
        <v>233</v>
      </c>
      <c r="E16" s="48" t="s">
        <v>185</v>
      </c>
      <c r="F16" s="49">
        <v>0</v>
      </c>
      <c r="G16" s="49">
        <v>0</v>
      </c>
      <c r="H16" s="49"/>
      <c r="I16" s="50">
        <f t="shared" si="0"/>
        <v>32</v>
      </c>
      <c r="J16" s="49"/>
      <c r="K16" s="42">
        <f t="shared" si="1"/>
        <v>0</v>
      </c>
      <c r="L16" s="49">
        <v>0</v>
      </c>
      <c r="M16" s="48" t="str">
        <f t="shared" si="2"/>
        <v>NO</v>
      </c>
      <c r="N16" s="47" t="str">
        <f t="shared" ca="1" si="3"/>
        <v/>
      </c>
    </row>
    <row r="17" spans="1:14" ht="15" customHeight="1">
      <c r="A17" s="64">
        <v>6016</v>
      </c>
      <c r="B17" s="46" t="s">
        <v>195</v>
      </c>
      <c r="C17" s="54">
        <v>22</v>
      </c>
      <c r="D17" s="37" t="s">
        <v>233</v>
      </c>
      <c r="E17" s="53" t="s">
        <v>185</v>
      </c>
      <c r="F17" s="44">
        <v>0</v>
      </c>
      <c r="G17" s="44">
        <v>0</v>
      </c>
      <c r="H17" s="44"/>
      <c r="I17" s="44">
        <f t="shared" si="0"/>
        <v>22</v>
      </c>
      <c r="J17" s="44"/>
      <c r="K17" s="42">
        <f t="shared" si="1"/>
        <v>0</v>
      </c>
      <c r="L17" s="44">
        <v>0</v>
      </c>
      <c r="M17" s="44" t="str">
        <f t="shared" si="2"/>
        <v>NO</v>
      </c>
      <c r="N17" s="44" t="str">
        <f t="shared" ca="1" si="3"/>
        <v/>
      </c>
    </row>
    <row r="18" spans="1:14" ht="15" customHeight="1">
      <c r="A18" s="64">
        <v>6017</v>
      </c>
      <c r="B18" s="51" t="s">
        <v>194</v>
      </c>
      <c r="C18" s="49">
        <v>14</v>
      </c>
      <c r="D18" s="48" t="s">
        <v>233</v>
      </c>
      <c r="E18" s="48" t="s">
        <v>193</v>
      </c>
      <c r="F18" s="49">
        <v>0</v>
      </c>
      <c r="G18" s="49">
        <v>4</v>
      </c>
      <c r="H18" s="49"/>
      <c r="I18" s="50">
        <f t="shared" si="0"/>
        <v>10</v>
      </c>
      <c r="J18" s="49"/>
      <c r="K18" s="42">
        <f t="shared" si="1"/>
        <v>0</v>
      </c>
      <c r="L18" s="49">
        <v>0</v>
      </c>
      <c r="M18" s="48" t="str">
        <f t="shared" si="2"/>
        <v>NO</v>
      </c>
      <c r="N18" s="47">
        <f t="shared" ca="1" si="3"/>
        <v>46178</v>
      </c>
    </row>
    <row r="19" spans="1:14" ht="15" customHeight="1">
      <c r="A19" s="64">
        <v>6018</v>
      </c>
      <c r="B19" s="46" t="s">
        <v>192</v>
      </c>
      <c r="C19" s="54">
        <v>42</v>
      </c>
      <c r="D19" s="37" t="s">
        <v>233</v>
      </c>
      <c r="E19" s="53" t="s">
        <v>191</v>
      </c>
      <c r="F19" s="44">
        <v>0</v>
      </c>
      <c r="G19" s="44">
        <v>0</v>
      </c>
      <c r="H19" s="44"/>
      <c r="I19" s="44">
        <f t="shared" si="0"/>
        <v>42</v>
      </c>
      <c r="J19" s="44"/>
      <c r="K19" s="42">
        <f t="shared" si="1"/>
        <v>0</v>
      </c>
      <c r="L19" s="44">
        <v>0</v>
      </c>
      <c r="M19" s="44" t="str">
        <f t="shared" si="2"/>
        <v>NO</v>
      </c>
      <c r="N19" s="44" t="str">
        <f t="shared" ca="1" si="3"/>
        <v/>
      </c>
    </row>
    <row r="20" spans="1:14" ht="15" customHeight="1">
      <c r="A20" s="64">
        <v>6019</v>
      </c>
      <c r="B20" s="51" t="s">
        <v>190</v>
      </c>
      <c r="C20" s="49">
        <v>25</v>
      </c>
      <c r="D20" s="48" t="s">
        <v>233</v>
      </c>
      <c r="E20" s="48" t="s">
        <v>188</v>
      </c>
      <c r="F20" s="49">
        <v>0</v>
      </c>
      <c r="G20" s="49">
        <v>0</v>
      </c>
      <c r="H20" s="49"/>
      <c r="I20" s="50">
        <f t="shared" si="0"/>
        <v>25</v>
      </c>
      <c r="J20" s="49"/>
      <c r="K20" s="42">
        <f t="shared" si="1"/>
        <v>0</v>
      </c>
      <c r="L20" s="49">
        <v>0</v>
      </c>
      <c r="M20" s="48" t="str">
        <f t="shared" si="2"/>
        <v>NO</v>
      </c>
      <c r="N20" s="47" t="str">
        <f t="shared" ca="1" si="3"/>
        <v/>
      </c>
    </row>
    <row r="21" spans="1:14" ht="15" customHeight="1">
      <c r="A21" s="64">
        <v>6020</v>
      </c>
      <c r="B21" s="56" t="s">
        <v>189</v>
      </c>
      <c r="C21" s="44">
        <v>41</v>
      </c>
      <c r="D21" s="37" t="s">
        <v>233</v>
      </c>
      <c r="E21" s="44" t="s">
        <v>188</v>
      </c>
      <c r="F21" s="44">
        <v>0</v>
      </c>
      <c r="G21" s="44">
        <v>0</v>
      </c>
      <c r="H21" s="44"/>
      <c r="I21" s="44">
        <f t="shared" si="0"/>
        <v>41</v>
      </c>
      <c r="J21" s="44"/>
      <c r="K21" s="42">
        <f t="shared" si="1"/>
        <v>0</v>
      </c>
      <c r="L21" s="44">
        <v>0</v>
      </c>
      <c r="M21" s="44" t="str">
        <f t="shared" si="2"/>
        <v>NO</v>
      </c>
      <c r="N21" s="44"/>
    </row>
    <row r="22" spans="1:14" ht="15" customHeight="1">
      <c r="A22" s="64">
        <v>6021</v>
      </c>
      <c r="B22" s="51" t="s">
        <v>187</v>
      </c>
      <c r="C22" s="49">
        <v>50</v>
      </c>
      <c r="D22" s="48" t="s">
        <v>233</v>
      </c>
      <c r="E22" s="48" t="s">
        <v>185</v>
      </c>
      <c r="F22" s="49">
        <v>0</v>
      </c>
      <c r="G22" s="49">
        <v>0</v>
      </c>
      <c r="H22" s="49"/>
      <c r="I22" s="50">
        <f t="shared" si="0"/>
        <v>50</v>
      </c>
      <c r="J22" s="49"/>
      <c r="K22" s="42">
        <f t="shared" si="1"/>
        <v>0</v>
      </c>
      <c r="L22" s="49">
        <v>0</v>
      </c>
      <c r="M22" s="48" t="str">
        <f t="shared" si="2"/>
        <v>NO</v>
      </c>
      <c r="N22" s="47" t="str">
        <f ca="1">IF(OR(F22&lt;&gt;0,G22&lt;&gt;0),TODAY(),"")</f>
        <v/>
      </c>
    </row>
    <row r="23" spans="1:14" ht="15" customHeight="1">
      <c r="A23" s="64">
        <v>6022</v>
      </c>
      <c r="B23" s="56" t="s">
        <v>186</v>
      </c>
      <c r="C23" s="44">
        <v>19</v>
      </c>
      <c r="D23" s="37" t="s">
        <v>233</v>
      </c>
      <c r="E23" s="44" t="s">
        <v>185</v>
      </c>
      <c r="F23" s="44">
        <v>0</v>
      </c>
      <c r="G23" s="44">
        <v>0</v>
      </c>
      <c r="H23" s="44"/>
      <c r="I23" s="44">
        <f t="shared" si="0"/>
        <v>19</v>
      </c>
      <c r="J23" s="44"/>
      <c r="K23" s="42">
        <f t="shared" si="1"/>
        <v>0</v>
      </c>
      <c r="L23" s="44">
        <v>0</v>
      </c>
      <c r="M23" s="44" t="str">
        <f t="shared" si="2"/>
        <v>NO</v>
      </c>
      <c r="N23" s="44" t="str">
        <f ca="1">IF(OR(F23&lt;&gt;0,G23&lt;&gt;0),TODAY(),"")</f>
        <v/>
      </c>
    </row>
    <row r="24" spans="1:14" ht="15" customHeight="1">
      <c r="A24" s="64">
        <v>6023</v>
      </c>
      <c r="B24" s="51" t="s">
        <v>184</v>
      </c>
      <c r="C24" s="49">
        <v>10</v>
      </c>
      <c r="D24" s="48" t="s">
        <v>233</v>
      </c>
      <c r="E24" s="48" t="s">
        <v>183</v>
      </c>
      <c r="F24" s="49">
        <v>0</v>
      </c>
      <c r="G24" s="49">
        <v>0</v>
      </c>
      <c r="H24" s="49"/>
      <c r="I24" s="50">
        <f t="shared" si="0"/>
        <v>10</v>
      </c>
      <c r="J24" s="49"/>
      <c r="K24" s="42">
        <f t="shared" si="1"/>
        <v>0</v>
      </c>
      <c r="L24" s="41">
        <v>0</v>
      </c>
      <c r="M24" s="48" t="str">
        <f t="shared" si="2"/>
        <v>NO</v>
      </c>
      <c r="N24" s="47"/>
    </row>
    <row r="25" spans="1:14" ht="15" customHeight="1">
      <c r="A25" s="64">
        <v>6023</v>
      </c>
      <c r="B25" s="46" t="s">
        <v>182</v>
      </c>
      <c r="C25" s="54">
        <v>0</v>
      </c>
      <c r="D25" s="37" t="s">
        <v>233</v>
      </c>
      <c r="E25" s="53" t="s">
        <v>96</v>
      </c>
      <c r="F25" s="44">
        <v>0</v>
      </c>
      <c r="G25" s="44">
        <v>0</v>
      </c>
      <c r="H25" s="44"/>
      <c r="I25" s="44">
        <f t="shared" si="0"/>
        <v>0</v>
      </c>
      <c r="J25" s="44"/>
      <c r="K25" s="42">
        <f t="shared" si="1"/>
        <v>0</v>
      </c>
      <c r="L25" s="44">
        <v>0</v>
      </c>
      <c r="M25" s="44" t="str">
        <f t="shared" si="2"/>
        <v>YES</v>
      </c>
      <c r="N25" s="52" t="str">
        <f t="shared" ref="N25:N56" ca="1" si="4">IF(OR(F25&lt;&gt;0,G25&lt;&gt;0),TODAY(),"")</f>
        <v/>
      </c>
    </row>
    <row r="26" spans="1:14" ht="15" customHeight="1">
      <c r="A26" s="64">
        <v>6024</v>
      </c>
      <c r="B26" s="51" t="s">
        <v>181</v>
      </c>
      <c r="C26" s="49">
        <v>5</v>
      </c>
      <c r="D26" s="48" t="s">
        <v>233</v>
      </c>
      <c r="E26" s="48"/>
      <c r="F26" s="49">
        <v>0</v>
      </c>
      <c r="G26" s="49">
        <v>0</v>
      </c>
      <c r="H26" s="49"/>
      <c r="I26" s="50">
        <f t="shared" si="0"/>
        <v>5</v>
      </c>
      <c r="J26" s="49"/>
      <c r="K26" s="42">
        <f t="shared" si="1"/>
        <v>0</v>
      </c>
      <c r="L26" s="49">
        <v>0</v>
      </c>
      <c r="M26" s="48" t="str">
        <f t="shared" si="2"/>
        <v>NO</v>
      </c>
      <c r="N26" s="47" t="str">
        <f t="shared" ca="1" si="4"/>
        <v/>
      </c>
    </row>
    <row r="27" spans="1:14" ht="15" customHeight="1">
      <c r="A27" s="64">
        <v>6025</v>
      </c>
      <c r="B27" s="46" t="s">
        <v>180</v>
      </c>
      <c r="C27" s="54">
        <v>26</v>
      </c>
      <c r="D27" s="53" t="s">
        <v>46</v>
      </c>
      <c r="E27" s="53" t="s">
        <v>85</v>
      </c>
      <c r="F27" s="54">
        <v>0</v>
      </c>
      <c r="G27" s="54">
        <v>2</v>
      </c>
      <c r="H27" s="54"/>
      <c r="I27" s="55">
        <f t="shared" si="0"/>
        <v>24</v>
      </c>
      <c r="J27" s="54"/>
      <c r="K27" s="42">
        <f t="shared" si="1"/>
        <v>0</v>
      </c>
      <c r="L27" s="54">
        <v>0</v>
      </c>
      <c r="M27" s="44" t="str">
        <f t="shared" si="2"/>
        <v>NO</v>
      </c>
      <c r="N27" s="52">
        <f t="shared" ca="1" si="4"/>
        <v>46178</v>
      </c>
    </row>
    <row r="28" spans="1:14" ht="15" customHeight="1">
      <c r="A28" s="64">
        <v>6026</v>
      </c>
      <c r="B28" s="51" t="s">
        <v>179</v>
      </c>
      <c r="C28" s="49">
        <v>6</v>
      </c>
      <c r="D28" s="48" t="s">
        <v>46</v>
      </c>
      <c r="E28" s="48"/>
      <c r="F28" s="49">
        <v>0</v>
      </c>
      <c r="G28" s="49">
        <v>0</v>
      </c>
      <c r="H28" s="49"/>
      <c r="I28" s="50">
        <f t="shared" si="0"/>
        <v>6</v>
      </c>
      <c r="J28" s="49"/>
      <c r="K28" s="42">
        <f t="shared" si="1"/>
        <v>0</v>
      </c>
      <c r="L28" s="49">
        <v>0</v>
      </c>
      <c r="M28" s="48" t="str">
        <f t="shared" si="2"/>
        <v>NO</v>
      </c>
      <c r="N28" s="47" t="str">
        <f t="shared" ca="1" si="4"/>
        <v/>
      </c>
    </row>
    <row r="29" spans="1:14" ht="15" customHeight="1">
      <c r="A29" s="64">
        <v>6027</v>
      </c>
      <c r="B29" s="46" t="s">
        <v>178</v>
      </c>
      <c r="C29" s="54">
        <v>8</v>
      </c>
      <c r="D29" s="53" t="s">
        <v>46</v>
      </c>
      <c r="E29" s="53"/>
      <c r="F29" s="54">
        <v>0</v>
      </c>
      <c r="G29" s="54">
        <v>0</v>
      </c>
      <c r="H29" s="54"/>
      <c r="I29" s="55">
        <f t="shared" si="0"/>
        <v>8</v>
      </c>
      <c r="J29" s="54"/>
      <c r="K29" s="42">
        <f t="shared" si="1"/>
        <v>0</v>
      </c>
      <c r="L29" s="54">
        <v>0</v>
      </c>
      <c r="M29" s="53" t="str">
        <f t="shared" si="2"/>
        <v>NO</v>
      </c>
      <c r="N29" s="52" t="str">
        <f t="shared" ca="1" si="4"/>
        <v/>
      </c>
    </row>
    <row r="30" spans="1:14" ht="15" customHeight="1">
      <c r="A30" s="64">
        <v>6028</v>
      </c>
      <c r="B30" s="51" t="s">
        <v>177</v>
      </c>
      <c r="C30" s="49">
        <v>57</v>
      </c>
      <c r="D30" s="48" t="s">
        <v>46</v>
      </c>
      <c r="E30" s="48"/>
      <c r="F30" s="49">
        <v>0</v>
      </c>
      <c r="G30" s="49">
        <v>2</v>
      </c>
      <c r="H30" s="49"/>
      <c r="I30" s="50">
        <f t="shared" si="0"/>
        <v>55</v>
      </c>
      <c r="J30" s="49"/>
      <c r="K30" s="42">
        <f t="shared" si="1"/>
        <v>0</v>
      </c>
      <c r="L30" s="49">
        <v>0</v>
      </c>
      <c r="M30" s="48" t="str">
        <f t="shared" si="2"/>
        <v>NO</v>
      </c>
      <c r="N30" s="47">
        <f t="shared" ca="1" si="4"/>
        <v>46178</v>
      </c>
    </row>
    <row r="31" spans="1:14" ht="15" customHeight="1">
      <c r="A31" s="64">
        <v>6029</v>
      </c>
      <c r="B31" s="46" t="s">
        <v>176</v>
      </c>
      <c r="C31" s="54">
        <v>20</v>
      </c>
      <c r="D31" s="53" t="s">
        <v>46</v>
      </c>
      <c r="E31" s="53"/>
      <c r="F31" s="54">
        <v>0</v>
      </c>
      <c r="G31" s="54">
        <v>3</v>
      </c>
      <c r="H31" s="54"/>
      <c r="I31" s="55">
        <f t="shared" si="0"/>
        <v>17</v>
      </c>
      <c r="J31" s="54"/>
      <c r="K31" s="42">
        <f t="shared" si="1"/>
        <v>0</v>
      </c>
      <c r="L31" s="54">
        <v>0</v>
      </c>
      <c r="M31" s="53" t="str">
        <f t="shared" si="2"/>
        <v>NO</v>
      </c>
      <c r="N31" s="52">
        <f t="shared" ca="1" si="4"/>
        <v>46178</v>
      </c>
    </row>
    <row r="32" spans="1:14" ht="15" customHeight="1">
      <c r="A32" s="64">
        <v>6030</v>
      </c>
      <c r="B32" s="51" t="s">
        <v>175</v>
      </c>
      <c r="C32" s="49">
        <v>11</v>
      </c>
      <c r="D32" s="48" t="s">
        <v>46</v>
      </c>
      <c r="E32" s="48"/>
      <c r="F32" s="49">
        <v>0</v>
      </c>
      <c r="G32" s="49">
        <v>2</v>
      </c>
      <c r="H32" s="49"/>
      <c r="I32" s="50">
        <f t="shared" si="0"/>
        <v>9</v>
      </c>
      <c r="J32" s="49"/>
      <c r="K32" s="42">
        <f t="shared" si="1"/>
        <v>0</v>
      </c>
      <c r="L32" s="49">
        <v>0</v>
      </c>
      <c r="M32" s="48" t="str">
        <f t="shared" si="2"/>
        <v>NO</v>
      </c>
      <c r="N32" s="47">
        <f t="shared" ca="1" si="4"/>
        <v>46178</v>
      </c>
    </row>
    <row r="33" spans="1:14" ht="15" customHeight="1">
      <c r="A33" s="64">
        <v>6031</v>
      </c>
      <c r="B33" s="46" t="s">
        <v>174</v>
      </c>
      <c r="C33" s="54">
        <v>4</v>
      </c>
      <c r="D33" s="53" t="s">
        <v>46</v>
      </c>
      <c r="E33" s="53"/>
      <c r="F33" s="54">
        <v>0</v>
      </c>
      <c r="G33" s="54">
        <v>1</v>
      </c>
      <c r="H33" s="54"/>
      <c r="I33" s="55">
        <f t="shared" si="0"/>
        <v>3</v>
      </c>
      <c r="J33" s="54"/>
      <c r="K33" s="42">
        <f t="shared" si="1"/>
        <v>0</v>
      </c>
      <c r="L33" s="54">
        <v>0</v>
      </c>
      <c r="M33" s="53" t="str">
        <f t="shared" si="2"/>
        <v>NO</v>
      </c>
      <c r="N33" s="52">
        <f t="shared" ca="1" si="4"/>
        <v>46178</v>
      </c>
    </row>
    <row r="34" spans="1:14" ht="15" customHeight="1">
      <c r="A34" s="64">
        <v>6032</v>
      </c>
      <c r="B34" s="51" t="s">
        <v>173</v>
      </c>
      <c r="C34" s="49">
        <v>2</v>
      </c>
      <c r="D34" s="48" t="s">
        <v>46</v>
      </c>
      <c r="E34" s="48"/>
      <c r="F34" s="49">
        <v>0</v>
      </c>
      <c r="G34" s="49">
        <v>1</v>
      </c>
      <c r="H34" s="49"/>
      <c r="I34" s="50">
        <f t="shared" ref="I34:I65" si="5">C34+F34-G34</f>
        <v>1</v>
      </c>
      <c r="J34" s="49"/>
      <c r="K34" s="42">
        <f t="shared" ref="K34:K65" si="6">I34*J34</f>
        <v>0</v>
      </c>
      <c r="L34" s="49">
        <v>0</v>
      </c>
      <c r="M34" s="48" t="str">
        <f t="shared" ref="M34:M65" si="7">IF(I34&lt;=L34,"YES","NO")</f>
        <v>NO</v>
      </c>
      <c r="N34" s="47">
        <f t="shared" ca="1" si="4"/>
        <v>46178</v>
      </c>
    </row>
    <row r="35" spans="1:14" ht="15" customHeight="1">
      <c r="A35" s="64">
        <v>6033</v>
      </c>
      <c r="B35" s="46" t="s">
        <v>172</v>
      </c>
      <c r="C35" s="54">
        <v>0</v>
      </c>
      <c r="D35" s="53" t="s">
        <v>46</v>
      </c>
      <c r="E35" s="53"/>
      <c r="F35" s="54">
        <v>0</v>
      </c>
      <c r="G35" s="54">
        <v>0</v>
      </c>
      <c r="H35" s="54"/>
      <c r="I35" s="55">
        <f t="shared" si="5"/>
        <v>0</v>
      </c>
      <c r="J35" s="54"/>
      <c r="K35" s="42">
        <f t="shared" si="6"/>
        <v>0</v>
      </c>
      <c r="L35" s="54">
        <v>0</v>
      </c>
      <c r="M35" s="53" t="str">
        <f t="shared" si="7"/>
        <v>YES</v>
      </c>
      <c r="N35" s="52" t="str">
        <f t="shared" ca="1" si="4"/>
        <v/>
      </c>
    </row>
    <row r="36" spans="1:14" ht="15" customHeight="1">
      <c r="A36" s="64">
        <v>6034</v>
      </c>
      <c r="B36" s="51" t="s">
        <v>171</v>
      </c>
      <c r="C36" s="49">
        <v>28</v>
      </c>
      <c r="D36" s="48" t="s">
        <v>46</v>
      </c>
      <c r="E36" s="48"/>
      <c r="F36" s="49">
        <v>0</v>
      </c>
      <c r="G36" s="49">
        <v>7</v>
      </c>
      <c r="H36" s="49"/>
      <c r="I36" s="50">
        <f t="shared" si="5"/>
        <v>21</v>
      </c>
      <c r="J36" s="49"/>
      <c r="K36" s="42">
        <f t="shared" si="6"/>
        <v>0</v>
      </c>
      <c r="L36" s="49">
        <v>0</v>
      </c>
      <c r="M36" s="48" t="str">
        <f t="shared" si="7"/>
        <v>NO</v>
      </c>
      <c r="N36" s="47">
        <f t="shared" ca="1" si="4"/>
        <v>46178</v>
      </c>
    </row>
    <row r="37" spans="1:14" ht="15" customHeight="1">
      <c r="A37" s="64">
        <v>6035</v>
      </c>
      <c r="B37" s="46" t="s">
        <v>170</v>
      </c>
      <c r="C37" s="54">
        <v>13</v>
      </c>
      <c r="D37" s="53" t="s">
        <v>46</v>
      </c>
      <c r="E37" s="53"/>
      <c r="F37" s="54">
        <v>0</v>
      </c>
      <c r="G37" s="54">
        <v>3</v>
      </c>
      <c r="H37" s="54"/>
      <c r="I37" s="55">
        <f t="shared" si="5"/>
        <v>10</v>
      </c>
      <c r="J37" s="54"/>
      <c r="K37" s="42">
        <f t="shared" si="6"/>
        <v>0</v>
      </c>
      <c r="L37" s="54">
        <v>0</v>
      </c>
      <c r="M37" s="53" t="str">
        <f t="shared" si="7"/>
        <v>NO</v>
      </c>
      <c r="N37" s="52">
        <f t="shared" ca="1" si="4"/>
        <v>46178</v>
      </c>
    </row>
    <row r="38" spans="1:14" ht="15" customHeight="1">
      <c r="A38" s="64">
        <v>6036</v>
      </c>
      <c r="B38" s="51" t="s">
        <v>169</v>
      </c>
      <c r="C38" s="49">
        <v>3</v>
      </c>
      <c r="D38" s="48" t="s">
        <v>46</v>
      </c>
      <c r="E38" s="48"/>
      <c r="F38" s="49">
        <v>0</v>
      </c>
      <c r="G38" s="49">
        <v>1</v>
      </c>
      <c r="H38" s="49"/>
      <c r="I38" s="50">
        <f t="shared" si="5"/>
        <v>2</v>
      </c>
      <c r="J38" s="49"/>
      <c r="K38" s="42">
        <f t="shared" si="6"/>
        <v>0</v>
      </c>
      <c r="L38" s="49">
        <v>0</v>
      </c>
      <c r="M38" s="48" t="str">
        <f t="shared" si="7"/>
        <v>NO</v>
      </c>
      <c r="N38" s="47">
        <f t="shared" ca="1" si="4"/>
        <v>46178</v>
      </c>
    </row>
    <row r="39" spans="1:14" ht="15" customHeight="1">
      <c r="A39" s="64">
        <v>6037</v>
      </c>
      <c r="B39" s="46" t="s">
        <v>168</v>
      </c>
      <c r="C39" s="54">
        <v>3</v>
      </c>
      <c r="D39" s="53" t="s">
        <v>46</v>
      </c>
      <c r="E39" s="53"/>
      <c r="F39" s="54">
        <v>0</v>
      </c>
      <c r="G39" s="54">
        <v>1</v>
      </c>
      <c r="H39" s="54"/>
      <c r="I39" s="55">
        <f t="shared" si="5"/>
        <v>2</v>
      </c>
      <c r="J39" s="54"/>
      <c r="K39" s="42">
        <f t="shared" si="6"/>
        <v>0</v>
      </c>
      <c r="L39" s="54">
        <v>0</v>
      </c>
      <c r="M39" s="53" t="str">
        <f t="shared" si="7"/>
        <v>NO</v>
      </c>
      <c r="N39" s="52">
        <f t="shared" ca="1" si="4"/>
        <v>46178</v>
      </c>
    </row>
    <row r="40" spans="1:14" ht="15" customHeight="1">
      <c r="A40" s="64">
        <v>6038</v>
      </c>
      <c r="B40" s="51" t="s">
        <v>167</v>
      </c>
      <c r="C40" s="49">
        <v>0</v>
      </c>
      <c r="D40" s="48" t="s">
        <v>46</v>
      </c>
      <c r="E40" s="48"/>
      <c r="F40" s="49">
        <v>0</v>
      </c>
      <c r="G40" s="49">
        <v>0</v>
      </c>
      <c r="H40" s="49"/>
      <c r="I40" s="50">
        <f t="shared" si="5"/>
        <v>0</v>
      </c>
      <c r="J40" s="49"/>
      <c r="K40" s="42">
        <f t="shared" si="6"/>
        <v>0</v>
      </c>
      <c r="L40" s="49">
        <v>0</v>
      </c>
      <c r="M40" s="48" t="str">
        <f t="shared" si="7"/>
        <v>YES</v>
      </c>
      <c r="N40" s="47" t="str">
        <f t="shared" ca="1" si="4"/>
        <v/>
      </c>
    </row>
    <row r="41" spans="1:14" ht="15" customHeight="1">
      <c r="A41" s="64">
        <v>6039</v>
      </c>
      <c r="B41" s="46" t="s">
        <v>166</v>
      </c>
      <c r="C41" s="54">
        <v>5</v>
      </c>
      <c r="D41" s="53" t="s">
        <v>46</v>
      </c>
      <c r="E41" s="53"/>
      <c r="F41" s="54">
        <v>0</v>
      </c>
      <c r="G41" s="54">
        <v>0.5</v>
      </c>
      <c r="H41" s="54"/>
      <c r="I41" s="55">
        <f t="shared" si="5"/>
        <v>4.5</v>
      </c>
      <c r="J41" s="54"/>
      <c r="K41" s="42">
        <f t="shared" si="6"/>
        <v>0</v>
      </c>
      <c r="L41" s="54">
        <v>0</v>
      </c>
      <c r="M41" s="53" t="str">
        <f t="shared" si="7"/>
        <v>NO</v>
      </c>
      <c r="N41" s="52">
        <f t="shared" ca="1" si="4"/>
        <v>46178</v>
      </c>
    </row>
    <row r="42" spans="1:14" ht="15" customHeight="1">
      <c r="A42" s="64">
        <v>6040</v>
      </c>
      <c r="B42" s="51" t="s">
        <v>165</v>
      </c>
      <c r="C42" s="49">
        <v>298</v>
      </c>
      <c r="D42" s="48" t="s">
        <v>224</v>
      </c>
      <c r="E42" s="48"/>
      <c r="F42" s="49">
        <v>0</v>
      </c>
      <c r="G42" s="49">
        <v>42</v>
      </c>
      <c r="H42" s="49"/>
      <c r="I42" s="50">
        <f t="shared" si="5"/>
        <v>256</v>
      </c>
      <c r="J42" s="49"/>
      <c r="K42" s="42">
        <f t="shared" si="6"/>
        <v>0</v>
      </c>
      <c r="L42" s="49">
        <v>0</v>
      </c>
      <c r="M42" s="48" t="str">
        <f t="shared" si="7"/>
        <v>NO</v>
      </c>
      <c r="N42" s="47">
        <f t="shared" ca="1" si="4"/>
        <v>46178</v>
      </c>
    </row>
    <row r="43" spans="1:14" ht="15" customHeight="1">
      <c r="A43" s="64">
        <v>6041</v>
      </c>
      <c r="B43" s="46" t="s">
        <v>164</v>
      </c>
      <c r="C43" s="54">
        <v>111</v>
      </c>
      <c r="D43" s="53" t="s">
        <v>224</v>
      </c>
      <c r="E43" s="53"/>
      <c r="F43" s="54">
        <v>0</v>
      </c>
      <c r="G43" s="54">
        <v>10</v>
      </c>
      <c r="H43" s="54"/>
      <c r="I43" s="55">
        <f t="shared" si="5"/>
        <v>101</v>
      </c>
      <c r="J43" s="54"/>
      <c r="K43" s="42">
        <f t="shared" si="6"/>
        <v>0</v>
      </c>
      <c r="L43" s="54">
        <v>0</v>
      </c>
      <c r="M43" s="53" t="str">
        <f t="shared" si="7"/>
        <v>NO</v>
      </c>
      <c r="N43" s="52">
        <f t="shared" ca="1" si="4"/>
        <v>46178</v>
      </c>
    </row>
    <row r="44" spans="1:14" ht="15" customHeight="1">
      <c r="A44" s="64">
        <v>6042</v>
      </c>
      <c r="B44" s="51" t="s">
        <v>163</v>
      </c>
      <c r="C44" s="49">
        <v>124</v>
      </c>
      <c r="D44" s="48" t="s">
        <v>42</v>
      </c>
      <c r="E44" s="48"/>
      <c r="F44" s="49">
        <v>0</v>
      </c>
      <c r="G44" s="49">
        <v>0</v>
      </c>
      <c r="H44" s="49"/>
      <c r="I44" s="50">
        <f t="shared" si="5"/>
        <v>124</v>
      </c>
      <c r="J44" s="49"/>
      <c r="K44" s="42">
        <f t="shared" si="6"/>
        <v>0</v>
      </c>
      <c r="L44" s="49">
        <v>0</v>
      </c>
      <c r="M44" s="48" t="str">
        <f t="shared" si="7"/>
        <v>NO</v>
      </c>
      <c r="N44" s="47" t="str">
        <f t="shared" ca="1" si="4"/>
        <v/>
      </c>
    </row>
    <row r="45" spans="1:14" ht="15" customHeight="1">
      <c r="A45" s="64">
        <v>6043</v>
      </c>
      <c r="B45" s="46" t="s">
        <v>162</v>
      </c>
      <c r="C45" s="54">
        <v>7</v>
      </c>
      <c r="D45" s="53" t="s">
        <v>42</v>
      </c>
      <c r="E45" s="53"/>
      <c r="F45" s="54">
        <v>0</v>
      </c>
      <c r="G45" s="54">
        <v>0</v>
      </c>
      <c r="H45" s="54"/>
      <c r="I45" s="55">
        <f t="shared" si="5"/>
        <v>7</v>
      </c>
      <c r="J45" s="54"/>
      <c r="K45" s="42">
        <f t="shared" si="6"/>
        <v>0</v>
      </c>
      <c r="L45" s="54">
        <v>0</v>
      </c>
      <c r="M45" s="53" t="str">
        <f t="shared" si="7"/>
        <v>NO</v>
      </c>
      <c r="N45" s="52" t="str">
        <f t="shared" ca="1" si="4"/>
        <v/>
      </c>
    </row>
    <row r="46" spans="1:14" ht="15" customHeight="1">
      <c r="A46" s="64">
        <v>6044</v>
      </c>
      <c r="B46" s="51" t="s">
        <v>161</v>
      </c>
      <c r="C46" s="49">
        <v>2</v>
      </c>
      <c r="D46" s="48" t="s">
        <v>46</v>
      </c>
      <c r="E46" s="48"/>
      <c r="F46" s="49">
        <v>0</v>
      </c>
      <c r="G46" s="49">
        <v>0</v>
      </c>
      <c r="H46" s="49"/>
      <c r="I46" s="50">
        <f t="shared" si="5"/>
        <v>2</v>
      </c>
      <c r="J46" s="49"/>
      <c r="K46" s="42">
        <f t="shared" si="6"/>
        <v>0</v>
      </c>
      <c r="L46" s="49">
        <v>0</v>
      </c>
      <c r="M46" s="48" t="str">
        <f t="shared" si="7"/>
        <v>NO</v>
      </c>
      <c r="N46" s="47" t="str">
        <f t="shared" ca="1" si="4"/>
        <v/>
      </c>
    </row>
    <row r="47" spans="1:14" ht="15" customHeight="1">
      <c r="A47" s="64">
        <v>6045</v>
      </c>
      <c r="B47" s="46" t="s">
        <v>160</v>
      </c>
      <c r="C47" s="54">
        <v>0</v>
      </c>
      <c r="D47" s="53" t="s">
        <v>46</v>
      </c>
      <c r="E47" s="53"/>
      <c r="F47" s="54">
        <v>0</v>
      </c>
      <c r="G47" s="54">
        <v>0</v>
      </c>
      <c r="H47" s="54"/>
      <c r="I47" s="55">
        <f t="shared" si="5"/>
        <v>0</v>
      </c>
      <c r="J47" s="54"/>
      <c r="K47" s="42">
        <f t="shared" si="6"/>
        <v>0</v>
      </c>
      <c r="L47" s="54">
        <v>0</v>
      </c>
      <c r="M47" s="53" t="str">
        <f t="shared" si="7"/>
        <v>YES</v>
      </c>
      <c r="N47" s="52" t="str">
        <f t="shared" ca="1" si="4"/>
        <v/>
      </c>
    </row>
    <row r="48" spans="1:14" ht="15" customHeight="1">
      <c r="A48" s="64">
        <v>6046</v>
      </c>
      <c r="B48" s="51" t="s">
        <v>159</v>
      </c>
      <c r="C48" s="49">
        <v>1</v>
      </c>
      <c r="D48" s="48" t="s">
        <v>46</v>
      </c>
      <c r="E48" s="48"/>
      <c r="F48" s="49">
        <v>0</v>
      </c>
      <c r="G48" s="49">
        <v>0</v>
      </c>
      <c r="H48" s="49"/>
      <c r="I48" s="50">
        <f t="shared" si="5"/>
        <v>1</v>
      </c>
      <c r="J48" s="49"/>
      <c r="K48" s="42">
        <f t="shared" si="6"/>
        <v>0</v>
      </c>
      <c r="L48" s="49">
        <v>0</v>
      </c>
      <c r="M48" s="48" t="str">
        <f t="shared" si="7"/>
        <v>NO</v>
      </c>
      <c r="N48" s="47" t="str">
        <f t="shared" ca="1" si="4"/>
        <v/>
      </c>
    </row>
    <row r="49" spans="1:14" ht="15" customHeight="1">
      <c r="A49" s="64">
        <v>6047</v>
      </c>
      <c r="B49" s="46" t="s">
        <v>158</v>
      </c>
      <c r="C49" s="54">
        <v>5</v>
      </c>
      <c r="D49" s="53" t="s">
        <v>46</v>
      </c>
      <c r="E49" s="53"/>
      <c r="F49" s="54">
        <v>0</v>
      </c>
      <c r="G49" s="54">
        <v>0</v>
      </c>
      <c r="H49" s="54"/>
      <c r="I49" s="55">
        <f t="shared" si="5"/>
        <v>5</v>
      </c>
      <c r="J49" s="54"/>
      <c r="K49" s="42">
        <f t="shared" si="6"/>
        <v>0</v>
      </c>
      <c r="L49" s="54">
        <v>0</v>
      </c>
      <c r="M49" s="53" t="str">
        <f t="shared" si="7"/>
        <v>NO</v>
      </c>
      <c r="N49" s="52" t="str">
        <f t="shared" ca="1" si="4"/>
        <v/>
      </c>
    </row>
    <row r="50" spans="1:14" ht="15" customHeight="1">
      <c r="A50" s="64">
        <v>6048</v>
      </c>
      <c r="B50" s="51" t="s">
        <v>157</v>
      </c>
      <c r="C50" s="49">
        <v>9</v>
      </c>
      <c r="D50" s="48" t="s">
        <v>46</v>
      </c>
      <c r="E50" s="48"/>
      <c r="F50" s="49">
        <v>0</v>
      </c>
      <c r="G50" s="49">
        <v>0</v>
      </c>
      <c r="H50" s="49"/>
      <c r="I50" s="50">
        <f t="shared" si="5"/>
        <v>9</v>
      </c>
      <c r="J50" s="49"/>
      <c r="K50" s="42">
        <f t="shared" si="6"/>
        <v>0</v>
      </c>
      <c r="L50" s="49">
        <v>0</v>
      </c>
      <c r="M50" s="48" t="str">
        <f t="shared" si="7"/>
        <v>NO</v>
      </c>
      <c r="N50" s="47" t="str">
        <f t="shared" ca="1" si="4"/>
        <v/>
      </c>
    </row>
    <row r="51" spans="1:14" ht="15" customHeight="1">
      <c r="A51" s="64">
        <v>6049</v>
      </c>
      <c r="B51" s="46" t="s">
        <v>156</v>
      </c>
      <c r="C51" s="54">
        <v>5</v>
      </c>
      <c r="D51" s="53" t="s">
        <v>46</v>
      </c>
      <c r="E51" s="53"/>
      <c r="F51" s="54">
        <v>0</v>
      </c>
      <c r="G51" s="54">
        <v>1</v>
      </c>
      <c r="H51" s="54"/>
      <c r="I51" s="55">
        <f t="shared" si="5"/>
        <v>4</v>
      </c>
      <c r="J51" s="54"/>
      <c r="K51" s="42">
        <f t="shared" si="6"/>
        <v>0</v>
      </c>
      <c r="L51" s="54">
        <v>0</v>
      </c>
      <c r="M51" s="53" t="str">
        <f t="shared" si="7"/>
        <v>NO</v>
      </c>
      <c r="N51" s="52">
        <f t="shared" ca="1" si="4"/>
        <v>46178</v>
      </c>
    </row>
    <row r="52" spans="1:14" ht="15" customHeight="1">
      <c r="A52" s="64">
        <v>6050</v>
      </c>
      <c r="B52" s="51" t="s">
        <v>155</v>
      </c>
      <c r="C52" s="49">
        <v>0</v>
      </c>
      <c r="D52" s="48" t="s">
        <v>87</v>
      </c>
      <c r="E52" s="48"/>
      <c r="F52" s="49">
        <v>0</v>
      </c>
      <c r="G52" s="49">
        <v>0</v>
      </c>
      <c r="H52" s="49"/>
      <c r="I52" s="50">
        <f t="shared" si="5"/>
        <v>0</v>
      </c>
      <c r="J52" s="49"/>
      <c r="K52" s="42">
        <f t="shared" si="6"/>
        <v>0</v>
      </c>
      <c r="L52" s="49">
        <v>0</v>
      </c>
      <c r="M52" s="48" t="str">
        <f t="shared" si="7"/>
        <v>YES</v>
      </c>
      <c r="N52" s="47" t="str">
        <f t="shared" ca="1" si="4"/>
        <v/>
      </c>
    </row>
    <row r="53" spans="1:14" ht="15" customHeight="1">
      <c r="A53" s="64">
        <v>6051</v>
      </c>
      <c r="B53" s="46" t="s">
        <v>154</v>
      </c>
      <c r="C53" s="54">
        <v>1</v>
      </c>
      <c r="D53" s="53" t="s">
        <v>87</v>
      </c>
      <c r="E53" s="53"/>
      <c r="F53" s="54">
        <v>0</v>
      </c>
      <c r="G53" s="54">
        <v>0</v>
      </c>
      <c r="H53" s="54"/>
      <c r="I53" s="55">
        <f t="shared" si="5"/>
        <v>1</v>
      </c>
      <c r="J53" s="54"/>
      <c r="K53" s="42">
        <f t="shared" si="6"/>
        <v>0</v>
      </c>
      <c r="L53" s="54">
        <v>0</v>
      </c>
      <c r="M53" s="53" t="str">
        <f t="shared" si="7"/>
        <v>NO</v>
      </c>
      <c r="N53" s="52" t="str">
        <f t="shared" ca="1" si="4"/>
        <v/>
      </c>
    </row>
    <row r="54" spans="1:14" ht="15" customHeight="1">
      <c r="A54" s="64">
        <v>6052</v>
      </c>
      <c r="B54" s="51" t="s">
        <v>153</v>
      </c>
      <c r="C54" s="49">
        <v>78</v>
      </c>
      <c r="D54" s="48" t="s">
        <v>42</v>
      </c>
      <c r="E54" s="48"/>
      <c r="F54" s="49">
        <v>0</v>
      </c>
      <c r="G54" s="49">
        <v>78</v>
      </c>
      <c r="H54" s="49"/>
      <c r="I54" s="50">
        <f t="shared" si="5"/>
        <v>0</v>
      </c>
      <c r="J54" s="49"/>
      <c r="K54" s="42">
        <f t="shared" si="6"/>
        <v>0</v>
      </c>
      <c r="L54" s="49">
        <v>0</v>
      </c>
      <c r="M54" s="48" t="str">
        <f t="shared" si="7"/>
        <v>YES</v>
      </c>
      <c r="N54" s="47">
        <f t="shared" ca="1" si="4"/>
        <v>46178</v>
      </c>
    </row>
    <row r="55" spans="1:14" ht="15" customHeight="1">
      <c r="A55" s="64">
        <v>6053</v>
      </c>
      <c r="B55" s="46" t="s">
        <v>152</v>
      </c>
      <c r="C55" s="54">
        <v>90</v>
      </c>
      <c r="D55" s="53" t="s">
        <v>42</v>
      </c>
      <c r="E55" s="53"/>
      <c r="F55" s="54">
        <v>0</v>
      </c>
      <c r="G55" s="54">
        <v>11</v>
      </c>
      <c r="H55" s="54"/>
      <c r="I55" s="55">
        <f t="shared" si="5"/>
        <v>79</v>
      </c>
      <c r="J55" s="54"/>
      <c r="K55" s="42">
        <f t="shared" si="6"/>
        <v>0</v>
      </c>
      <c r="L55" s="54">
        <v>0</v>
      </c>
      <c r="M55" s="53" t="str">
        <f t="shared" si="7"/>
        <v>NO</v>
      </c>
      <c r="N55" s="52">
        <f t="shared" ca="1" si="4"/>
        <v>46178</v>
      </c>
    </row>
    <row r="56" spans="1:14" ht="15" customHeight="1">
      <c r="A56" s="64">
        <v>6054</v>
      </c>
      <c r="B56" s="51" t="s">
        <v>151</v>
      </c>
      <c r="C56" s="49">
        <v>25</v>
      </c>
      <c r="D56" s="48" t="s">
        <v>42</v>
      </c>
      <c r="E56" s="48"/>
      <c r="F56" s="49">
        <v>0</v>
      </c>
      <c r="G56" s="49">
        <v>0</v>
      </c>
      <c r="H56" s="49"/>
      <c r="I56" s="50">
        <f t="shared" si="5"/>
        <v>25</v>
      </c>
      <c r="J56" s="49"/>
      <c r="K56" s="42">
        <f t="shared" si="6"/>
        <v>0</v>
      </c>
      <c r="L56" s="49">
        <v>0</v>
      </c>
      <c r="M56" s="48" t="str">
        <f t="shared" si="7"/>
        <v>NO</v>
      </c>
      <c r="N56" s="47" t="str">
        <f t="shared" ca="1" si="4"/>
        <v/>
      </c>
    </row>
    <row r="57" spans="1:14" ht="15" customHeight="1">
      <c r="A57" s="64">
        <v>6055</v>
      </c>
      <c r="B57" s="46" t="s">
        <v>150</v>
      </c>
      <c r="C57" s="54">
        <v>4</v>
      </c>
      <c r="D57" s="53" t="s">
        <v>135</v>
      </c>
      <c r="E57" s="53"/>
      <c r="F57" s="54">
        <v>0</v>
      </c>
      <c r="G57" s="54">
        <v>1</v>
      </c>
      <c r="H57" s="54"/>
      <c r="I57" s="55">
        <f t="shared" si="5"/>
        <v>3</v>
      </c>
      <c r="J57" s="54"/>
      <c r="K57" s="42">
        <f t="shared" si="6"/>
        <v>0</v>
      </c>
      <c r="L57" s="54">
        <v>0</v>
      </c>
      <c r="M57" s="53" t="str">
        <f t="shared" si="7"/>
        <v>NO</v>
      </c>
      <c r="N57" s="52">
        <f t="shared" ref="N57:N88" ca="1" si="8">IF(OR(F57&lt;&gt;0,G57&lt;&gt;0),TODAY(),"")</f>
        <v>46178</v>
      </c>
    </row>
    <row r="58" spans="1:14" ht="15" customHeight="1">
      <c r="A58" s="64">
        <v>6056</v>
      </c>
      <c r="B58" s="51" t="s">
        <v>149</v>
      </c>
      <c r="C58" s="49">
        <v>15</v>
      </c>
      <c r="D58" s="48" t="s">
        <v>42</v>
      </c>
      <c r="E58" s="48"/>
      <c r="F58" s="49">
        <v>0</v>
      </c>
      <c r="G58" s="49">
        <v>0</v>
      </c>
      <c r="H58" s="49"/>
      <c r="I58" s="50">
        <f t="shared" si="5"/>
        <v>15</v>
      </c>
      <c r="J58" s="49"/>
      <c r="K58" s="42">
        <f t="shared" si="6"/>
        <v>0</v>
      </c>
      <c r="L58" s="49">
        <v>0</v>
      </c>
      <c r="M58" s="48" t="str">
        <f t="shared" si="7"/>
        <v>NO</v>
      </c>
      <c r="N58" s="47" t="str">
        <f t="shared" ca="1" si="8"/>
        <v/>
      </c>
    </row>
    <row r="59" spans="1:14" ht="15" customHeight="1">
      <c r="A59" s="64">
        <v>6057</v>
      </c>
      <c r="B59" s="46" t="s">
        <v>306</v>
      </c>
      <c r="C59" s="54">
        <v>27</v>
      </c>
      <c r="D59" s="53" t="s">
        <v>42</v>
      </c>
      <c r="E59" s="53" t="s">
        <v>148</v>
      </c>
      <c r="F59" s="54">
        <v>0</v>
      </c>
      <c r="G59" s="54">
        <v>11</v>
      </c>
      <c r="H59" s="54"/>
      <c r="I59" s="55">
        <f t="shared" si="5"/>
        <v>16</v>
      </c>
      <c r="J59" s="54"/>
      <c r="K59" s="42">
        <f t="shared" si="6"/>
        <v>0</v>
      </c>
      <c r="L59" s="54">
        <v>0</v>
      </c>
      <c r="M59" s="53" t="str">
        <f t="shared" si="7"/>
        <v>NO</v>
      </c>
      <c r="N59" s="52">
        <f t="shared" ca="1" si="8"/>
        <v>46178</v>
      </c>
    </row>
    <row r="60" spans="1:14" ht="15" customHeight="1">
      <c r="A60" s="64">
        <v>6058</v>
      </c>
      <c r="B60" s="51" t="s">
        <v>147</v>
      </c>
      <c r="C60" s="49">
        <v>1</v>
      </c>
      <c r="D60" s="48" t="s">
        <v>46</v>
      </c>
      <c r="E60" s="48"/>
      <c r="F60" s="49">
        <v>0</v>
      </c>
      <c r="G60" s="49">
        <v>0.5</v>
      </c>
      <c r="H60" s="49"/>
      <c r="I60" s="50">
        <f t="shared" si="5"/>
        <v>0.5</v>
      </c>
      <c r="J60" s="49"/>
      <c r="K60" s="42">
        <f t="shared" si="6"/>
        <v>0</v>
      </c>
      <c r="L60" s="49">
        <v>0</v>
      </c>
      <c r="M60" s="48" t="str">
        <f t="shared" si="7"/>
        <v>NO</v>
      </c>
      <c r="N60" s="47">
        <f t="shared" ca="1" si="8"/>
        <v>46178</v>
      </c>
    </row>
    <row r="61" spans="1:14" ht="15" customHeight="1">
      <c r="A61" s="64">
        <v>6059</v>
      </c>
      <c r="B61" s="46" t="s">
        <v>146</v>
      </c>
      <c r="C61" s="54">
        <v>40</v>
      </c>
      <c r="D61" s="53" t="s">
        <v>42</v>
      </c>
      <c r="E61" s="53"/>
      <c r="F61" s="54">
        <v>0</v>
      </c>
      <c r="G61" s="54">
        <v>0</v>
      </c>
      <c r="H61" s="54"/>
      <c r="I61" s="55">
        <f t="shared" si="5"/>
        <v>40</v>
      </c>
      <c r="J61" s="54"/>
      <c r="K61" s="42">
        <f t="shared" si="6"/>
        <v>0</v>
      </c>
      <c r="L61" s="54">
        <v>0</v>
      </c>
      <c r="M61" s="53" t="str">
        <f t="shared" si="7"/>
        <v>NO</v>
      </c>
      <c r="N61" s="52" t="str">
        <f t="shared" ca="1" si="8"/>
        <v/>
      </c>
    </row>
    <row r="62" spans="1:14" ht="15" customHeight="1">
      <c r="A62" s="64">
        <v>6060</v>
      </c>
      <c r="B62" s="51" t="s">
        <v>145</v>
      </c>
      <c r="C62" s="49">
        <v>1</v>
      </c>
      <c r="D62" s="48" t="s">
        <v>42</v>
      </c>
      <c r="E62" s="48"/>
      <c r="F62" s="49">
        <v>0</v>
      </c>
      <c r="G62" s="49">
        <v>0</v>
      </c>
      <c r="H62" s="49"/>
      <c r="I62" s="50">
        <f t="shared" si="5"/>
        <v>1</v>
      </c>
      <c r="J62" s="49"/>
      <c r="K62" s="42">
        <f t="shared" si="6"/>
        <v>0</v>
      </c>
      <c r="L62" s="49">
        <v>0</v>
      </c>
      <c r="M62" s="48" t="str">
        <f t="shared" si="7"/>
        <v>NO</v>
      </c>
      <c r="N62" s="47" t="str">
        <f t="shared" ca="1" si="8"/>
        <v/>
      </c>
    </row>
    <row r="63" spans="1:14" ht="15" customHeight="1">
      <c r="A63" s="64">
        <v>6061</v>
      </c>
      <c r="B63" s="46" t="s">
        <v>144</v>
      </c>
      <c r="C63" s="54">
        <v>2</v>
      </c>
      <c r="D63" s="53" t="s">
        <v>46</v>
      </c>
      <c r="E63" s="53"/>
      <c r="F63" s="54">
        <v>0</v>
      </c>
      <c r="G63" s="54">
        <v>0</v>
      </c>
      <c r="H63" s="54"/>
      <c r="I63" s="55">
        <f t="shared" si="5"/>
        <v>2</v>
      </c>
      <c r="J63" s="54"/>
      <c r="K63" s="42">
        <f t="shared" si="6"/>
        <v>0</v>
      </c>
      <c r="L63" s="54">
        <v>0</v>
      </c>
      <c r="M63" s="53" t="str">
        <f t="shared" si="7"/>
        <v>NO</v>
      </c>
      <c r="N63" s="52" t="str">
        <f t="shared" ca="1" si="8"/>
        <v/>
      </c>
    </row>
    <row r="64" spans="1:14" ht="15" customHeight="1">
      <c r="A64" s="64">
        <v>6062</v>
      </c>
      <c r="B64" s="51" t="s">
        <v>143</v>
      </c>
      <c r="C64" s="49">
        <v>50</v>
      </c>
      <c r="D64" s="48" t="s">
        <v>42</v>
      </c>
      <c r="E64" s="48"/>
      <c r="F64" s="49">
        <v>0</v>
      </c>
      <c r="G64" s="49">
        <v>0</v>
      </c>
      <c r="H64" s="49"/>
      <c r="I64" s="50">
        <f t="shared" si="5"/>
        <v>50</v>
      </c>
      <c r="J64" s="49"/>
      <c r="K64" s="42">
        <f t="shared" si="6"/>
        <v>0</v>
      </c>
      <c r="L64" s="49">
        <v>0</v>
      </c>
      <c r="M64" s="48" t="str">
        <f t="shared" si="7"/>
        <v>NO</v>
      </c>
      <c r="N64" s="47" t="str">
        <f t="shared" ca="1" si="8"/>
        <v/>
      </c>
    </row>
    <row r="65" spans="1:14" ht="15" customHeight="1">
      <c r="A65" s="64">
        <v>6063</v>
      </c>
      <c r="B65" s="46" t="s">
        <v>142</v>
      </c>
      <c r="C65" s="54">
        <v>2</v>
      </c>
      <c r="D65" s="53" t="s">
        <v>42</v>
      </c>
      <c r="E65" s="53"/>
      <c r="F65" s="54">
        <v>0</v>
      </c>
      <c r="G65" s="54">
        <v>0</v>
      </c>
      <c r="H65" s="54"/>
      <c r="I65" s="55">
        <f t="shared" si="5"/>
        <v>2</v>
      </c>
      <c r="J65" s="54"/>
      <c r="K65" s="42">
        <f t="shared" si="6"/>
        <v>0</v>
      </c>
      <c r="L65" s="54">
        <v>0</v>
      </c>
      <c r="M65" s="53" t="str">
        <f t="shared" si="7"/>
        <v>NO</v>
      </c>
      <c r="N65" s="52" t="str">
        <f t="shared" ca="1" si="8"/>
        <v/>
      </c>
    </row>
    <row r="66" spans="1:14" ht="15" customHeight="1">
      <c r="A66" s="64">
        <v>6064</v>
      </c>
      <c r="B66" s="51" t="s">
        <v>141</v>
      </c>
      <c r="C66" s="49">
        <v>7</v>
      </c>
      <c r="D66" s="48" t="s">
        <v>42</v>
      </c>
      <c r="E66" s="48"/>
      <c r="F66" s="49">
        <v>0</v>
      </c>
      <c r="G66" s="49">
        <v>0</v>
      </c>
      <c r="H66" s="49"/>
      <c r="I66" s="50">
        <f t="shared" ref="I66:I97" si="9">C66+F66-G66</f>
        <v>7</v>
      </c>
      <c r="J66" s="49"/>
      <c r="K66" s="42">
        <f t="shared" ref="K66:K97" si="10">I66*J66</f>
        <v>0</v>
      </c>
      <c r="L66" s="49">
        <v>0</v>
      </c>
      <c r="M66" s="48" t="str">
        <f t="shared" ref="M66:M97" si="11">IF(I66&lt;=L66,"YES","NO")</f>
        <v>NO</v>
      </c>
      <c r="N66" s="47" t="str">
        <f t="shared" ca="1" si="8"/>
        <v/>
      </c>
    </row>
    <row r="67" spans="1:14" ht="15" customHeight="1">
      <c r="A67" s="64">
        <v>6065</v>
      </c>
      <c r="B67" s="46" t="s">
        <v>140</v>
      </c>
      <c r="C67" s="54">
        <v>16</v>
      </c>
      <c r="D67" s="53" t="s">
        <v>42</v>
      </c>
      <c r="E67" s="53"/>
      <c r="F67" s="54">
        <v>0</v>
      </c>
      <c r="G67" s="54">
        <v>0</v>
      </c>
      <c r="H67" s="54"/>
      <c r="I67" s="55">
        <f t="shared" si="9"/>
        <v>16</v>
      </c>
      <c r="J67" s="54"/>
      <c r="K67" s="42">
        <f t="shared" si="10"/>
        <v>0</v>
      </c>
      <c r="L67" s="54">
        <v>0</v>
      </c>
      <c r="M67" s="53" t="str">
        <f t="shared" si="11"/>
        <v>NO</v>
      </c>
      <c r="N67" s="52" t="str">
        <f t="shared" ca="1" si="8"/>
        <v/>
      </c>
    </row>
    <row r="68" spans="1:14" ht="15" customHeight="1">
      <c r="A68" s="64">
        <v>6066</v>
      </c>
      <c r="B68" s="51" t="s">
        <v>139</v>
      </c>
      <c r="C68" s="49">
        <v>12</v>
      </c>
      <c r="D68" s="48" t="s">
        <v>42</v>
      </c>
      <c r="E68" s="48"/>
      <c r="F68" s="49">
        <v>0</v>
      </c>
      <c r="G68" s="49">
        <v>0</v>
      </c>
      <c r="H68" s="49"/>
      <c r="I68" s="50">
        <f t="shared" si="9"/>
        <v>12</v>
      </c>
      <c r="J68" s="49"/>
      <c r="K68" s="42">
        <f t="shared" si="10"/>
        <v>0</v>
      </c>
      <c r="L68" s="49">
        <v>0</v>
      </c>
      <c r="M68" s="48" t="str">
        <f t="shared" si="11"/>
        <v>NO</v>
      </c>
      <c r="N68" s="47" t="str">
        <f t="shared" ca="1" si="8"/>
        <v/>
      </c>
    </row>
    <row r="69" spans="1:14" ht="15" customHeight="1">
      <c r="A69" s="64">
        <v>6067</v>
      </c>
      <c r="B69" s="46" t="s">
        <v>138</v>
      </c>
      <c r="C69" s="54">
        <v>11</v>
      </c>
      <c r="D69" s="53" t="s">
        <v>42</v>
      </c>
      <c r="E69" s="53"/>
      <c r="F69" s="54">
        <v>0</v>
      </c>
      <c r="G69" s="54">
        <v>0</v>
      </c>
      <c r="H69" s="54"/>
      <c r="I69" s="55">
        <f t="shared" si="9"/>
        <v>11</v>
      </c>
      <c r="J69" s="54"/>
      <c r="K69" s="42">
        <f t="shared" si="10"/>
        <v>0</v>
      </c>
      <c r="L69" s="54">
        <v>0</v>
      </c>
      <c r="M69" s="53" t="str">
        <f t="shared" si="11"/>
        <v>NO</v>
      </c>
      <c r="N69" s="52" t="str">
        <f t="shared" ca="1" si="8"/>
        <v/>
      </c>
    </row>
    <row r="70" spans="1:14" ht="15" customHeight="1">
      <c r="A70" s="64">
        <v>6068</v>
      </c>
      <c r="B70" s="51" t="s">
        <v>137</v>
      </c>
      <c r="C70" s="49">
        <v>43</v>
      </c>
      <c r="D70" s="48" t="s">
        <v>224</v>
      </c>
      <c r="E70" s="48"/>
      <c r="F70" s="49">
        <v>0</v>
      </c>
      <c r="G70" s="49">
        <v>1</v>
      </c>
      <c r="H70" s="49"/>
      <c r="I70" s="50">
        <f t="shared" si="9"/>
        <v>42</v>
      </c>
      <c r="J70" s="49"/>
      <c r="K70" s="42">
        <f t="shared" si="10"/>
        <v>0</v>
      </c>
      <c r="L70" s="49">
        <v>0</v>
      </c>
      <c r="M70" s="48" t="str">
        <f t="shared" si="11"/>
        <v>NO</v>
      </c>
      <c r="N70" s="47">
        <f t="shared" ca="1" si="8"/>
        <v>46178</v>
      </c>
    </row>
    <row r="71" spans="1:14" ht="15" customHeight="1">
      <c r="A71" s="64">
        <v>6069</v>
      </c>
      <c r="B71" s="46" t="s">
        <v>136</v>
      </c>
      <c r="C71" s="54">
        <v>10</v>
      </c>
      <c r="D71" s="53" t="s">
        <v>135</v>
      </c>
      <c r="E71" s="53"/>
      <c r="F71" s="54">
        <v>0</v>
      </c>
      <c r="G71" s="54">
        <v>1</v>
      </c>
      <c r="H71" s="54"/>
      <c r="I71" s="55">
        <f t="shared" si="9"/>
        <v>9</v>
      </c>
      <c r="J71" s="54"/>
      <c r="K71" s="42">
        <f t="shared" si="10"/>
        <v>0</v>
      </c>
      <c r="L71" s="54">
        <v>0</v>
      </c>
      <c r="M71" s="53" t="str">
        <f t="shared" si="11"/>
        <v>NO</v>
      </c>
      <c r="N71" s="52">
        <f t="shared" ca="1" si="8"/>
        <v>46178</v>
      </c>
    </row>
    <row r="72" spans="1:14" ht="15" customHeight="1">
      <c r="A72" s="64">
        <v>6070</v>
      </c>
      <c r="B72" s="51" t="s">
        <v>305</v>
      </c>
      <c r="C72" s="49">
        <v>12</v>
      </c>
      <c r="D72" s="48" t="s">
        <v>42</v>
      </c>
      <c r="E72" s="48" t="s">
        <v>134</v>
      </c>
      <c r="F72" s="49">
        <v>0</v>
      </c>
      <c r="G72" s="49">
        <v>5</v>
      </c>
      <c r="H72" s="49"/>
      <c r="I72" s="50">
        <f t="shared" si="9"/>
        <v>7</v>
      </c>
      <c r="J72" s="49"/>
      <c r="K72" s="42">
        <f t="shared" si="10"/>
        <v>0</v>
      </c>
      <c r="L72" s="49">
        <v>0</v>
      </c>
      <c r="M72" s="48" t="str">
        <f t="shared" si="11"/>
        <v>NO</v>
      </c>
      <c r="N72" s="47">
        <f t="shared" ca="1" si="8"/>
        <v>46178</v>
      </c>
    </row>
    <row r="73" spans="1:14" ht="15" customHeight="1">
      <c r="A73" s="64">
        <v>6071</v>
      </c>
      <c r="B73" s="46" t="s">
        <v>133</v>
      </c>
      <c r="C73" s="54">
        <v>17</v>
      </c>
      <c r="D73" s="53" t="s">
        <v>42</v>
      </c>
      <c r="E73" s="53" t="s">
        <v>132</v>
      </c>
      <c r="F73" s="54">
        <v>0</v>
      </c>
      <c r="G73" s="54">
        <v>2</v>
      </c>
      <c r="H73" s="54"/>
      <c r="I73" s="55">
        <f t="shared" si="9"/>
        <v>15</v>
      </c>
      <c r="J73" s="54"/>
      <c r="K73" s="42">
        <f t="shared" si="10"/>
        <v>0</v>
      </c>
      <c r="L73" s="54">
        <v>0</v>
      </c>
      <c r="M73" s="53" t="str">
        <f t="shared" si="11"/>
        <v>NO</v>
      </c>
      <c r="N73" s="52">
        <f t="shared" ca="1" si="8"/>
        <v>46178</v>
      </c>
    </row>
    <row r="74" spans="1:14" ht="15" customHeight="1">
      <c r="A74" s="64">
        <v>6072</v>
      </c>
      <c r="B74" s="51" t="s">
        <v>303</v>
      </c>
      <c r="C74" s="49">
        <v>28</v>
      </c>
      <c r="D74" s="48" t="s">
        <v>42</v>
      </c>
      <c r="E74" s="48"/>
      <c r="F74" s="49">
        <v>0</v>
      </c>
      <c r="G74" s="49">
        <v>7</v>
      </c>
      <c r="H74" s="49"/>
      <c r="I74" s="50">
        <f t="shared" si="9"/>
        <v>21</v>
      </c>
      <c r="J74" s="49"/>
      <c r="K74" s="42">
        <f t="shared" si="10"/>
        <v>0</v>
      </c>
      <c r="L74" s="49">
        <v>0</v>
      </c>
      <c r="M74" s="48" t="str">
        <f t="shared" si="11"/>
        <v>NO</v>
      </c>
      <c r="N74" s="47">
        <f t="shared" ca="1" si="8"/>
        <v>46178</v>
      </c>
    </row>
    <row r="75" spans="1:14" ht="15" customHeight="1">
      <c r="A75" s="64">
        <v>6073</v>
      </c>
      <c r="B75" s="46" t="s">
        <v>131</v>
      </c>
      <c r="C75" s="54">
        <v>220</v>
      </c>
      <c r="D75" s="53" t="s">
        <v>42</v>
      </c>
      <c r="E75" s="53"/>
      <c r="F75" s="54">
        <v>0</v>
      </c>
      <c r="G75" s="54">
        <v>40</v>
      </c>
      <c r="H75" s="54"/>
      <c r="I75" s="55">
        <f t="shared" si="9"/>
        <v>180</v>
      </c>
      <c r="J75" s="54"/>
      <c r="K75" s="42">
        <f t="shared" si="10"/>
        <v>0</v>
      </c>
      <c r="L75" s="54">
        <v>0</v>
      </c>
      <c r="M75" s="53" t="str">
        <f t="shared" si="11"/>
        <v>NO</v>
      </c>
      <c r="N75" s="52">
        <f t="shared" ca="1" si="8"/>
        <v>46178</v>
      </c>
    </row>
    <row r="76" spans="1:14" ht="15" customHeight="1">
      <c r="A76" s="64">
        <v>6074</v>
      </c>
      <c r="B76" s="51" t="s">
        <v>130</v>
      </c>
      <c r="C76" s="49">
        <v>1</v>
      </c>
      <c r="D76" s="48" t="s">
        <v>46</v>
      </c>
      <c r="E76" s="48"/>
      <c r="F76" s="49">
        <v>0</v>
      </c>
      <c r="G76" s="49">
        <v>0</v>
      </c>
      <c r="H76" s="49"/>
      <c r="I76" s="50">
        <f t="shared" si="9"/>
        <v>1</v>
      </c>
      <c r="J76" s="49"/>
      <c r="K76" s="42">
        <f t="shared" si="10"/>
        <v>0</v>
      </c>
      <c r="L76" s="49">
        <v>0</v>
      </c>
      <c r="M76" s="48" t="str">
        <f t="shared" si="11"/>
        <v>NO</v>
      </c>
      <c r="N76" s="47" t="str">
        <f t="shared" ca="1" si="8"/>
        <v/>
      </c>
    </row>
    <row r="77" spans="1:14" ht="15" customHeight="1">
      <c r="A77" s="64">
        <v>6075</v>
      </c>
      <c r="B77" s="46" t="s">
        <v>304</v>
      </c>
      <c r="C77" s="54">
        <v>2</v>
      </c>
      <c r="D77" s="53" t="s">
        <v>73</v>
      </c>
      <c r="E77" s="53"/>
      <c r="F77" s="54">
        <v>0</v>
      </c>
      <c r="G77" s="54">
        <v>0</v>
      </c>
      <c r="H77" s="54"/>
      <c r="I77" s="55">
        <f t="shared" si="9"/>
        <v>2</v>
      </c>
      <c r="J77" s="54"/>
      <c r="K77" s="42">
        <f t="shared" si="10"/>
        <v>0</v>
      </c>
      <c r="L77" s="54">
        <v>0</v>
      </c>
      <c r="M77" s="53" t="str">
        <f t="shared" si="11"/>
        <v>NO</v>
      </c>
      <c r="N77" s="52" t="str">
        <f t="shared" ca="1" si="8"/>
        <v/>
      </c>
    </row>
    <row r="78" spans="1:14" ht="15" customHeight="1">
      <c r="A78" s="64">
        <v>6076</v>
      </c>
      <c r="B78" s="51" t="s">
        <v>129</v>
      </c>
      <c r="C78" s="49">
        <v>1</v>
      </c>
      <c r="D78" s="48" t="s">
        <v>42</v>
      </c>
      <c r="E78" s="48" t="s">
        <v>128</v>
      </c>
      <c r="F78" s="49">
        <v>0</v>
      </c>
      <c r="G78" s="49">
        <v>0</v>
      </c>
      <c r="H78" s="49"/>
      <c r="I78" s="50">
        <f t="shared" si="9"/>
        <v>1</v>
      </c>
      <c r="J78" s="49"/>
      <c r="K78" s="42">
        <f t="shared" si="10"/>
        <v>0</v>
      </c>
      <c r="L78" s="49">
        <v>0</v>
      </c>
      <c r="M78" s="48" t="str">
        <f t="shared" si="11"/>
        <v>NO</v>
      </c>
      <c r="N78" s="47" t="str">
        <f t="shared" ca="1" si="8"/>
        <v/>
      </c>
    </row>
    <row r="79" spans="1:14" ht="15" customHeight="1">
      <c r="A79" s="64">
        <v>6077</v>
      </c>
      <c r="B79" s="46" t="s">
        <v>127</v>
      </c>
      <c r="C79" s="54">
        <v>2</v>
      </c>
      <c r="D79" s="53" t="s">
        <v>46</v>
      </c>
      <c r="E79" s="53"/>
      <c r="F79" s="54">
        <v>0</v>
      </c>
      <c r="G79" s="54">
        <v>0</v>
      </c>
      <c r="H79" s="54"/>
      <c r="I79" s="55">
        <f t="shared" si="9"/>
        <v>2</v>
      </c>
      <c r="J79" s="54"/>
      <c r="K79" s="42">
        <f t="shared" si="10"/>
        <v>0</v>
      </c>
      <c r="L79" s="54">
        <v>0</v>
      </c>
      <c r="M79" s="53" t="str">
        <f t="shared" si="11"/>
        <v>NO</v>
      </c>
      <c r="N79" s="52" t="str">
        <f t="shared" ca="1" si="8"/>
        <v/>
      </c>
    </row>
    <row r="80" spans="1:14" ht="15" customHeight="1">
      <c r="A80" s="64">
        <v>6078</v>
      </c>
      <c r="B80" s="51" t="s">
        <v>126</v>
      </c>
      <c r="C80" s="49">
        <v>37</v>
      </c>
      <c r="D80" s="48" t="s">
        <v>42</v>
      </c>
      <c r="E80" s="48"/>
      <c r="F80" s="49">
        <v>0</v>
      </c>
      <c r="G80" s="49">
        <v>10</v>
      </c>
      <c r="H80" s="49"/>
      <c r="I80" s="50">
        <f t="shared" si="9"/>
        <v>27</v>
      </c>
      <c r="J80" s="49"/>
      <c r="K80" s="42">
        <f t="shared" si="10"/>
        <v>0</v>
      </c>
      <c r="L80" s="49">
        <v>0</v>
      </c>
      <c r="M80" s="48" t="str">
        <f t="shared" si="11"/>
        <v>NO</v>
      </c>
      <c r="N80" s="47">
        <f t="shared" ca="1" si="8"/>
        <v>46178</v>
      </c>
    </row>
    <row r="81" spans="1:14" ht="15" customHeight="1">
      <c r="A81" s="64">
        <v>6079</v>
      </c>
      <c r="B81" s="46" t="s">
        <v>125</v>
      </c>
      <c r="C81" s="54">
        <v>7</v>
      </c>
      <c r="D81" s="53" t="s">
        <v>43</v>
      </c>
      <c r="E81" s="53"/>
      <c r="F81" s="54">
        <v>0</v>
      </c>
      <c r="G81" s="54">
        <v>3</v>
      </c>
      <c r="H81" s="54"/>
      <c r="I81" s="55">
        <f t="shared" si="9"/>
        <v>4</v>
      </c>
      <c r="J81" s="54"/>
      <c r="K81" s="42">
        <f t="shared" si="10"/>
        <v>0</v>
      </c>
      <c r="L81" s="54">
        <v>0</v>
      </c>
      <c r="M81" s="53" t="str">
        <f t="shared" si="11"/>
        <v>NO</v>
      </c>
      <c r="N81" s="52">
        <f t="shared" ca="1" si="8"/>
        <v>46178</v>
      </c>
    </row>
    <row r="82" spans="1:14" ht="15" customHeight="1">
      <c r="A82" s="64">
        <v>6080</v>
      </c>
      <c r="B82" s="51" t="s">
        <v>124</v>
      </c>
      <c r="C82" s="49">
        <v>6</v>
      </c>
      <c r="D82" s="48" t="s">
        <v>43</v>
      </c>
      <c r="E82" s="48"/>
      <c r="F82" s="49">
        <v>0</v>
      </c>
      <c r="G82" s="49">
        <v>1</v>
      </c>
      <c r="H82" s="49"/>
      <c r="I82" s="50">
        <f t="shared" si="9"/>
        <v>5</v>
      </c>
      <c r="J82" s="49"/>
      <c r="K82" s="42">
        <f t="shared" si="10"/>
        <v>0</v>
      </c>
      <c r="L82" s="49">
        <v>0</v>
      </c>
      <c r="M82" s="48" t="str">
        <f t="shared" si="11"/>
        <v>NO</v>
      </c>
      <c r="N82" s="47">
        <f t="shared" ca="1" si="8"/>
        <v>46178</v>
      </c>
    </row>
    <row r="83" spans="1:14" ht="15" customHeight="1">
      <c r="A83" s="64">
        <v>6081</v>
      </c>
      <c r="B83" s="46" t="s">
        <v>123</v>
      </c>
      <c r="C83" s="54">
        <v>40</v>
      </c>
      <c r="D83" s="53" t="s">
        <v>42</v>
      </c>
      <c r="E83" s="53"/>
      <c r="F83" s="54">
        <v>0</v>
      </c>
      <c r="G83" s="54">
        <v>0</v>
      </c>
      <c r="H83" s="54"/>
      <c r="I83" s="55">
        <f t="shared" si="9"/>
        <v>40</v>
      </c>
      <c r="J83" s="54"/>
      <c r="K83" s="42">
        <f t="shared" si="10"/>
        <v>0</v>
      </c>
      <c r="L83" s="54">
        <v>0</v>
      </c>
      <c r="M83" s="53" t="str">
        <f t="shared" si="11"/>
        <v>NO</v>
      </c>
      <c r="N83" s="52" t="str">
        <f t="shared" ca="1" si="8"/>
        <v/>
      </c>
    </row>
    <row r="84" spans="1:14" ht="15" customHeight="1">
      <c r="A84" s="64">
        <v>6082</v>
      </c>
      <c r="B84" s="51" t="s">
        <v>122</v>
      </c>
      <c r="C84" s="49">
        <v>5</v>
      </c>
      <c r="D84" s="48" t="s">
        <v>42</v>
      </c>
      <c r="E84" s="48"/>
      <c r="F84" s="49">
        <v>0</v>
      </c>
      <c r="G84" s="49">
        <v>0</v>
      </c>
      <c r="H84" s="49"/>
      <c r="I84" s="50">
        <f t="shared" si="9"/>
        <v>5</v>
      </c>
      <c r="J84" s="49"/>
      <c r="K84" s="42">
        <f t="shared" si="10"/>
        <v>0</v>
      </c>
      <c r="L84" s="49">
        <v>0</v>
      </c>
      <c r="M84" s="48" t="str">
        <f t="shared" si="11"/>
        <v>NO</v>
      </c>
      <c r="N84" s="47" t="str">
        <f t="shared" ca="1" si="8"/>
        <v/>
      </c>
    </row>
    <row r="85" spans="1:14" ht="15" customHeight="1">
      <c r="A85" s="64">
        <v>6083</v>
      </c>
      <c r="B85" s="46" t="s">
        <v>121</v>
      </c>
      <c r="C85" s="54">
        <v>50</v>
      </c>
      <c r="D85" s="53" t="s">
        <v>42</v>
      </c>
      <c r="E85" s="53"/>
      <c r="F85" s="54">
        <v>0</v>
      </c>
      <c r="G85" s="54">
        <v>0</v>
      </c>
      <c r="H85" s="54"/>
      <c r="I85" s="55">
        <f t="shared" si="9"/>
        <v>50</v>
      </c>
      <c r="J85" s="54"/>
      <c r="K85" s="42">
        <f t="shared" si="10"/>
        <v>0</v>
      </c>
      <c r="L85" s="54">
        <v>0</v>
      </c>
      <c r="M85" s="53" t="str">
        <f t="shared" si="11"/>
        <v>NO</v>
      </c>
      <c r="N85" s="52" t="str">
        <f t="shared" ca="1" si="8"/>
        <v/>
      </c>
    </row>
    <row r="86" spans="1:14" ht="15" customHeight="1">
      <c r="A86" s="64">
        <v>6084</v>
      </c>
      <c r="B86" s="51" t="s">
        <v>120</v>
      </c>
      <c r="C86" s="49">
        <v>42</v>
      </c>
      <c r="D86" s="48" t="s">
        <v>42</v>
      </c>
      <c r="E86" s="48"/>
      <c r="F86" s="49">
        <v>0</v>
      </c>
      <c r="G86" s="49">
        <v>0</v>
      </c>
      <c r="H86" s="49"/>
      <c r="I86" s="50">
        <f t="shared" si="9"/>
        <v>42</v>
      </c>
      <c r="J86" s="49"/>
      <c r="K86" s="42">
        <f t="shared" si="10"/>
        <v>0</v>
      </c>
      <c r="L86" s="49">
        <v>0</v>
      </c>
      <c r="M86" s="48" t="str">
        <f t="shared" si="11"/>
        <v>NO</v>
      </c>
      <c r="N86" s="47" t="str">
        <f t="shared" ca="1" si="8"/>
        <v/>
      </c>
    </row>
    <row r="87" spans="1:14" ht="15" customHeight="1">
      <c r="A87" s="64">
        <v>6085</v>
      </c>
      <c r="B87" s="46" t="s">
        <v>119</v>
      </c>
      <c r="C87" s="54">
        <v>8</v>
      </c>
      <c r="D87" s="53" t="s">
        <v>42</v>
      </c>
      <c r="E87" s="53"/>
      <c r="F87" s="54">
        <v>0</v>
      </c>
      <c r="G87" s="54">
        <v>0</v>
      </c>
      <c r="H87" s="54"/>
      <c r="I87" s="55">
        <f t="shared" si="9"/>
        <v>8</v>
      </c>
      <c r="J87" s="54"/>
      <c r="K87" s="42">
        <f t="shared" si="10"/>
        <v>0</v>
      </c>
      <c r="L87" s="54">
        <v>0</v>
      </c>
      <c r="M87" s="53" t="str">
        <f t="shared" si="11"/>
        <v>NO</v>
      </c>
      <c r="N87" s="52" t="str">
        <f t="shared" ca="1" si="8"/>
        <v/>
      </c>
    </row>
    <row r="88" spans="1:14" ht="15" customHeight="1">
      <c r="A88" s="64">
        <v>6086</v>
      </c>
      <c r="B88" s="51" t="s">
        <v>118</v>
      </c>
      <c r="C88" s="49">
        <v>3</v>
      </c>
      <c r="D88" s="48" t="s">
        <v>83</v>
      </c>
      <c r="E88" s="48"/>
      <c r="F88" s="49">
        <v>0</v>
      </c>
      <c r="G88" s="49">
        <v>0</v>
      </c>
      <c r="H88" s="49"/>
      <c r="I88" s="50">
        <f t="shared" si="9"/>
        <v>3</v>
      </c>
      <c r="J88" s="49"/>
      <c r="K88" s="42">
        <f t="shared" si="10"/>
        <v>0</v>
      </c>
      <c r="L88" s="49">
        <v>0</v>
      </c>
      <c r="M88" s="48" t="str">
        <f t="shared" si="11"/>
        <v>NO</v>
      </c>
      <c r="N88" s="47" t="str">
        <f t="shared" ca="1" si="8"/>
        <v/>
      </c>
    </row>
    <row r="89" spans="1:14" ht="15" customHeight="1">
      <c r="A89" s="64">
        <v>6087</v>
      </c>
      <c r="B89" s="46" t="s">
        <v>117</v>
      </c>
      <c r="C89" s="54">
        <v>2</v>
      </c>
      <c r="D89" s="53" t="s">
        <v>87</v>
      </c>
      <c r="E89" s="53"/>
      <c r="F89" s="54">
        <v>0</v>
      </c>
      <c r="G89" s="54">
        <v>0</v>
      </c>
      <c r="H89" s="54"/>
      <c r="I89" s="55">
        <f t="shared" si="9"/>
        <v>2</v>
      </c>
      <c r="J89" s="54"/>
      <c r="K89" s="42">
        <f t="shared" si="10"/>
        <v>0</v>
      </c>
      <c r="L89" s="54">
        <v>0</v>
      </c>
      <c r="M89" s="53" t="str">
        <f t="shared" si="11"/>
        <v>NO</v>
      </c>
      <c r="N89" s="52" t="str">
        <f t="shared" ref="N89:N122" ca="1" si="12">IF(OR(F89&lt;&gt;0,G89&lt;&gt;0),TODAY(),"")</f>
        <v/>
      </c>
    </row>
    <row r="90" spans="1:14" ht="15" customHeight="1">
      <c r="A90" s="64">
        <v>6088</v>
      </c>
      <c r="B90" s="51" t="s">
        <v>116</v>
      </c>
      <c r="C90" s="49">
        <v>5</v>
      </c>
      <c r="D90" s="48" t="s">
        <v>46</v>
      </c>
      <c r="E90" s="48"/>
      <c r="F90" s="49">
        <v>0</v>
      </c>
      <c r="G90" s="49">
        <v>0</v>
      </c>
      <c r="H90" s="49"/>
      <c r="I90" s="50">
        <f t="shared" si="9"/>
        <v>5</v>
      </c>
      <c r="J90" s="49"/>
      <c r="K90" s="42">
        <f t="shared" si="10"/>
        <v>0</v>
      </c>
      <c r="L90" s="49">
        <v>0</v>
      </c>
      <c r="M90" s="48" t="str">
        <f t="shared" si="11"/>
        <v>NO</v>
      </c>
      <c r="N90" s="47" t="str">
        <f t="shared" ca="1" si="12"/>
        <v/>
      </c>
    </row>
    <row r="91" spans="1:14" ht="15" customHeight="1">
      <c r="A91" s="64">
        <v>6089</v>
      </c>
      <c r="B91" s="46" t="s">
        <v>115</v>
      </c>
      <c r="C91" s="54">
        <v>29</v>
      </c>
      <c r="D91" s="53" t="s">
        <v>42</v>
      </c>
      <c r="E91" s="53"/>
      <c r="F91" s="54">
        <v>0</v>
      </c>
      <c r="G91" s="54">
        <v>0</v>
      </c>
      <c r="H91" s="54"/>
      <c r="I91" s="55">
        <f t="shared" si="9"/>
        <v>29</v>
      </c>
      <c r="J91" s="54"/>
      <c r="K91" s="42">
        <f t="shared" si="10"/>
        <v>0</v>
      </c>
      <c r="L91" s="54">
        <v>0</v>
      </c>
      <c r="M91" s="53" t="str">
        <f t="shared" si="11"/>
        <v>NO</v>
      </c>
      <c r="N91" s="52" t="str">
        <f t="shared" ca="1" si="12"/>
        <v/>
      </c>
    </row>
    <row r="92" spans="1:14" ht="15" customHeight="1">
      <c r="A92" s="64">
        <v>6090</v>
      </c>
      <c r="B92" s="51" t="s">
        <v>114</v>
      </c>
      <c r="C92" s="49">
        <v>4</v>
      </c>
      <c r="D92" s="48" t="s">
        <v>83</v>
      </c>
      <c r="E92" s="48"/>
      <c r="F92" s="49">
        <v>0</v>
      </c>
      <c r="G92" s="49">
        <v>0</v>
      </c>
      <c r="H92" s="49"/>
      <c r="I92" s="50">
        <f t="shared" si="9"/>
        <v>4</v>
      </c>
      <c r="J92" s="49"/>
      <c r="K92" s="42">
        <f t="shared" si="10"/>
        <v>0</v>
      </c>
      <c r="L92" s="49">
        <v>0</v>
      </c>
      <c r="M92" s="48" t="str">
        <f t="shared" si="11"/>
        <v>NO</v>
      </c>
      <c r="N92" s="47" t="str">
        <f t="shared" ca="1" si="12"/>
        <v/>
      </c>
    </row>
    <row r="93" spans="1:14" ht="15" customHeight="1">
      <c r="A93" s="64">
        <v>6091</v>
      </c>
      <c r="B93" s="46" t="s">
        <v>113</v>
      </c>
      <c r="C93" s="54">
        <v>23</v>
      </c>
      <c r="D93" s="53" t="s">
        <v>42</v>
      </c>
      <c r="E93" s="53"/>
      <c r="F93" s="54">
        <v>0</v>
      </c>
      <c r="G93" s="54">
        <v>0</v>
      </c>
      <c r="H93" s="54"/>
      <c r="I93" s="55">
        <f t="shared" si="9"/>
        <v>23</v>
      </c>
      <c r="J93" s="54"/>
      <c r="K93" s="42">
        <f t="shared" si="10"/>
        <v>0</v>
      </c>
      <c r="L93" s="54">
        <v>0</v>
      </c>
      <c r="M93" s="53" t="str">
        <f t="shared" si="11"/>
        <v>NO</v>
      </c>
      <c r="N93" s="52" t="str">
        <f t="shared" ca="1" si="12"/>
        <v/>
      </c>
    </row>
    <row r="94" spans="1:14" ht="15" customHeight="1">
      <c r="A94" s="64">
        <v>6092</v>
      </c>
      <c r="B94" s="51" t="s">
        <v>112</v>
      </c>
      <c r="C94" s="49">
        <v>0</v>
      </c>
      <c r="D94" s="48" t="s">
        <v>42</v>
      </c>
      <c r="E94" s="48"/>
      <c r="F94" s="49">
        <v>0</v>
      </c>
      <c r="G94" s="49">
        <v>0</v>
      </c>
      <c r="H94" s="49"/>
      <c r="I94" s="50">
        <f t="shared" si="9"/>
        <v>0</v>
      </c>
      <c r="J94" s="49"/>
      <c r="K94" s="42">
        <f t="shared" si="10"/>
        <v>0</v>
      </c>
      <c r="L94" s="49">
        <v>0</v>
      </c>
      <c r="M94" s="48" t="str">
        <f t="shared" si="11"/>
        <v>YES</v>
      </c>
      <c r="N94" s="47" t="str">
        <f t="shared" ca="1" si="12"/>
        <v/>
      </c>
    </row>
    <row r="95" spans="1:14" ht="15" customHeight="1">
      <c r="A95" s="64">
        <v>6093</v>
      </c>
      <c r="B95" s="46" t="s">
        <v>111</v>
      </c>
      <c r="C95" s="54">
        <v>25</v>
      </c>
      <c r="D95" s="53" t="s">
        <v>42</v>
      </c>
      <c r="E95" s="53"/>
      <c r="F95" s="54">
        <v>0</v>
      </c>
      <c r="G95" s="54">
        <v>0</v>
      </c>
      <c r="H95" s="54"/>
      <c r="I95" s="55">
        <f t="shared" si="9"/>
        <v>25</v>
      </c>
      <c r="J95" s="54"/>
      <c r="K95" s="42">
        <f t="shared" si="10"/>
        <v>0</v>
      </c>
      <c r="L95" s="54">
        <v>0</v>
      </c>
      <c r="M95" s="53" t="str">
        <f t="shared" si="11"/>
        <v>NO</v>
      </c>
      <c r="N95" s="52" t="str">
        <f t="shared" ca="1" si="12"/>
        <v/>
      </c>
    </row>
    <row r="96" spans="1:14" ht="15" customHeight="1">
      <c r="A96" s="64">
        <v>6094</v>
      </c>
      <c r="B96" s="51" t="s">
        <v>110</v>
      </c>
      <c r="C96" s="49">
        <v>0</v>
      </c>
      <c r="D96" s="48" t="s">
        <v>42</v>
      </c>
      <c r="E96" s="48"/>
      <c r="F96" s="49">
        <v>0</v>
      </c>
      <c r="G96" s="49">
        <v>0</v>
      </c>
      <c r="H96" s="49"/>
      <c r="I96" s="50">
        <f t="shared" si="9"/>
        <v>0</v>
      </c>
      <c r="J96" s="49"/>
      <c r="K96" s="42">
        <f t="shared" si="10"/>
        <v>0</v>
      </c>
      <c r="L96" s="49">
        <v>0</v>
      </c>
      <c r="M96" s="48" t="str">
        <f t="shared" si="11"/>
        <v>YES</v>
      </c>
      <c r="N96" s="47" t="str">
        <f t="shared" ca="1" si="12"/>
        <v/>
      </c>
    </row>
    <row r="97" spans="1:14" ht="15" customHeight="1">
      <c r="A97" s="64">
        <v>6095</v>
      </c>
      <c r="B97" s="46" t="s">
        <v>109</v>
      </c>
      <c r="C97" s="54">
        <v>10</v>
      </c>
      <c r="D97" s="53" t="s">
        <v>42</v>
      </c>
      <c r="E97" s="53"/>
      <c r="F97" s="54">
        <v>0</v>
      </c>
      <c r="G97" s="54">
        <v>0</v>
      </c>
      <c r="H97" s="54"/>
      <c r="I97" s="55">
        <f t="shared" si="9"/>
        <v>10</v>
      </c>
      <c r="J97" s="54"/>
      <c r="K97" s="42">
        <f t="shared" si="10"/>
        <v>0</v>
      </c>
      <c r="L97" s="54">
        <v>0</v>
      </c>
      <c r="M97" s="53" t="str">
        <f t="shared" si="11"/>
        <v>NO</v>
      </c>
      <c r="N97" s="52" t="str">
        <f t="shared" ca="1" si="12"/>
        <v/>
      </c>
    </row>
    <row r="98" spans="1:14" ht="15" customHeight="1">
      <c r="A98" s="64">
        <v>6096</v>
      </c>
      <c r="B98" s="51" t="s">
        <v>108</v>
      </c>
      <c r="C98" s="49">
        <v>10</v>
      </c>
      <c r="D98" s="48" t="s">
        <v>42</v>
      </c>
      <c r="E98" s="48"/>
      <c r="F98" s="49">
        <v>0</v>
      </c>
      <c r="G98" s="49">
        <v>0</v>
      </c>
      <c r="H98" s="49"/>
      <c r="I98" s="50">
        <f t="shared" ref="I98:I129" si="13">C98+F98-G98</f>
        <v>10</v>
      </c>
      <c r="J98" s="49"/>
      <c r="K98" s="42">
        <f t="shared" ref="K98:K129" si="14">I98*J98</f>
        <v>0</v>
      </c>
      <c r="L98" s="49">
        <v>0</v>
      </c>
      <c r="M98" s="48" t="str">
        <f t="shared" ref="M98:M129" si="15">IF(I98&lt;=L98,"YES","NO")</f>
        <v>NO</v>
      </c>
      <c r="N98" s="47" t="str">
        <f t="shared" ca="1" si="12"/>
        <v/>
      </c>
    </row>
    <row r="99" spans="1:14" ht="15" customHeight="1">
      <c r="A99" s="64">
        <v>6097</v>
      </c>
      <c r="B99" s="46" t="s">
        <v>107</v>
      </c>
      <c r="C99" s="54">
        <v>0</v>
      </c>
      <c r="D99" s="53" t="s">
        <v>42</v>
      </c>
      <c r="E99" s="53"/>
      <c r="F99" s="54">
        <v>0</v>
      </c>
      <c r="G99" s="54">
        <v>0</v>
      </c>
      <c r="H99" s="54"/>
      <c r="I99" s="55">
        <f t="shared" si="13"/>
        <v>0</v>
      </c>
      <c r="J99" s="54"/>
      <c r="K99" s="42">
        <f t="shared" si="14"/>
        <v>0</v>
      </c>
      <c r="L99" s="54">
        <v>0</v>
      </c>
      <c r="M99" s="53" t="str">
        <f t="shared" si="15"/>
        <v>YES</v>
      </c>
      <c r="N99" s="52" t="str">
        <f t="shared" ca="1" si="12"/>
        <v/>
      </c>
    </row>
    <row r="100" spans="1:14" ht="15" customHeight="1">
      <c r="A100" s="64">
        <v>6098</v>
      </c>
      <c r="B100" s="51" t="s">
        <v>106</v>
      </c>
      <c r="C100" s="49">
        <v>5</v>
      </c>
      <c r="D100" s="48" t="s">
        <v>42</v>
      </c>
      <c r="E100" s="48"/>
      <c r="F100" s="49">
        <v>0</v>
      </c>
      <c r="G100" s="49">
        <v>0</v>
      </c>
      <c r="H100" s="49"/>
      <c r="I100" s="50">
        <f t="shared" si="13"/>
        <v>5</v>
      </c>
      <c r="J100" s="49"/>
      <c r="K100" s="42">
        <f t="shared" si="14"/>
        <v>0</v>
      </c>
      <c r="L100" s="49">
        <v>0</v>
      </c>
      <c r="M100" s="48" t="str">
        <f t="shared" si="15"/>
        <v>NO</v>
      </c>
      <c r="N100" s="47" t="str">
        <f t="shared" ca="1" si="12"/>
        <v/>
      </c>
    </row>
    <row r="101" spans="1:14" ht="15" customHeight="1">
      <c r="A101" s="64">
        <v>6099</v>
      </c>
      <c r="B101" s="46" t="s">
        <v>105</v>
      </c>
      <c r="C101" s="54">
        <v>0</v>
      </c>
      <c r="D101" s="53" t="s">
        <v>42</v>
      </c>
      <c r="E101" s="53"/>
      <c r="F101" s="54">
        <v>0</v>
      </c>
      <c r="G101" s="54">
        <v>0</v>
      </c>
      <c r="H101" s="54"/>
      <c r="I101" s="55">
        <f t="shared" si="13"/>
        <v>0</v>
      </c>
      <c r="J101" s="54"/>
      <c r="K101" s="42">
        <f t="shared" si="14"/>
        <v>0</v>
      </c>
      <c r="L101" s="54">
        <v>0</v>
      </c>
      <c r="M101" s="53" t="str">
        <f t="shared" si="15"/>
        <v>YES</v>
      </c>
      <c r="N101" s="52" t="str">
        <f t="shared" ca="1" si="12"/>
        <v/>
      </c>
    </row>
    <row r="102" spans="1:14" ht="15" customHeight="1">
      <c r="A102" s="64">
        <v>6100</v>
      </c>
      <c r="B102" s="51" t="s">
        <v>104</v>
      </c>
      <c r="C102" s="49">
        <v>0</v>
      </c>
      <c r="D102" s="48" t="s">
        <v>42</v>
      </c>
      <c r="E102" s="48"/>
      <c r="F102" s="49">
        <v>0</v>
      </c>
      <c r="G102" s="49">
        <v>0</v>
      </c>
      <c r="H102" s="49"/>
      <c r="I102" s="50">
        <f t="shared" si="13"/>
        <v>0</v>
      </c>
      <c r="J102" s="49"/>
      <c r="K102" s="42">
        <f t="shared" si="14"/>
        <v>0</v>
      </c>
      <c r="L102" s="49">
        <v>0</v>
      </c>
      <c r="M102" s="48" t="str">
        <f t="shared" si="15"/>
        <v>YES</v>
      </c>
      <c r="N102" s="47" t="str">
        <f t="shared" ca="1" si="12"/>
        <v/>
      </c>
    </row>
    <row r="103" spans="1:14" ht="15" customHeight="1">
      <c r="A103" s="64">
        <v>6101</v>
      </c>
      <c r="B103" s="46" t="s">
        <v>103</v>
      </c>
      <c r="C103" s="54">
        <v>3</v>
      </c>
      <c r="D103" s="53" t="s">
        <v>42</v>
      </c>
      <c r="E103" s="53"/>
      <c r="F103" s="54">
        <v>0</v>
      </c>
      <c r="G103" s="54">
        <v>0</v>
      </c>
      <c r="H103" s="54"/>
      <c r="I103" s="55">
        <f t="shared" si="13"/>
        <v>3</v>
      </c>
      <c r="J103" s="54"/>
      <c r="K103" s="42">
        <f t="shared" si="14"/>
        <v>0</v>
      </c>
      <c r="L103" s="54">
        <v>0</v>
      </c>
      <c r="M103" s="53" t="str">
        <f t="shared" si="15"/>
        <v>NO</v>
      </c>
      <c r="N103" s="52" t="str">
        <f t="shared" ca="1" si="12"/>
        <v/>
      </c>
    </row>
    <row r="104" spans="1:14" ht="15" customHeight="1">
      <c r="A104" s="64">
        <v>6102</v>
      </c>
      <c r="B104" s="51" t="s">
        <v>102</v>
      </c>
      <c r="C104" s="49">
        <v>9</v>
      </c>
      <c r="D104" s="48" t="s">
        <v>83</v>
      </c>
      <c r="E104" s="48"/>
      <c r="F104" s="49">
        <v>0</v>
      </c>
      <c r="G104" s="49">
        <v>0</v>
      </c>
      <c r="H104" s="49"/>
      <c r="I104" s="50">
        <f t="shared" si="13"/>
        <v>9</v>
      </c>
      <c r="J104" s="49"/>
      <c r="K104" s="42">
        <f t="shared" si="14"/>
        <v>0</v>
      </c>
      <c r="L104" s="49">
        <v>0</v>
      </c>
      <c r="M104" s="48" t="str">
        <f t="shared" si="15"/>
        <v>NO</v>
      </c>
      <c r="N104" s="47" t="str">
        <f t="shared" ca="1" si="12"/>
        <v/>
      </c>
    </row>
    <row r="105" spans="1:14" ht="15" customHeight="1">
      <c r="A105" s="64">
        <v>6103</v>
      </c>
      <c r="B105" s="46" t="s">
        <v>101</v>
      </c>
      <c r="C105" s="54">
        <v>1</v>
      </c>
      <c r="D105" s="53" t="s">
        <v>83</v>
      </c>
      <c r="E105" s="53"/>
      <c r="F105" s="54">
        <v>0</v>
      </c>
      <c r="G105" s="54">
        <v>0</v>
      </c>
      <c r="H105" s="54"/>
      <c r="I105" s="55">
        <f t="shared" si="13"/>
        <v>1</v>
      </c>
      <c r="J105" s="54"/>
      <c r="K105" s="42">
        <f t="shared" si="14"/>
        <v>0</v>
      </c>
      <c r="L105" s="54">
        <v>0</v>
      </c>
      <c r="M105" s="53" t="str">
        <f t="shared" si="15"/>
        <v>NO</v>
      </c>
      <c r="N105" s="52" t="str">
        <f t="shared" ca="1" si="12"/>
        <v/>
      </c>
    </row>
    <row r="106" spans="1:14" ht="15" customHeight="1">
      <c r="A106" s="64">
        <v>6104</v>
      </c>
      <c r="B106" s="51" t="s">
        <v>100</v>
      </c>
      <c r="C106" s="49">
        <v>18</v>
      </c>
      <c r="D106" s="48" t="s">
        <v>42</v>
      </c>
      <c r="E106" s="48" t="s">
        <v>99</v>
      </c>
      <c r="F106" s="49">
        <v>0</v>
      </c>
      <c r="G106" s="49">
        <v>0</v>
      </c>
      <c r="H106" s="49"/>
      <c r="I106" s="50">
        <f t="shared" si="13"/>
        <v>18</v>
      </c>
      <c r="J106" s="49"/>
      <c r="K106" s="42">
        <f t="shared" si="14"/>
        <v>0</v>
      </c>
      <c r="L106" s="49">
        <v>0</v>
      </c>
      <c r="M106" s="48" t="str">
        <f t="shared" si="15"/>
        <v>NO</v>
      </c>
      <c r="N106" s="47" t="str">
        <f t="shared" ca="1" si="12"/>
        <v/>
      </c>
    </row>
    <row r="107" spans="1:14" ht="15" customHeight="1">
      <c r="A107" s="64">
        <v>6105</v>
      </c>
      <c r="B107" s="46" t="s">
        <v>98</v>
      </c>
      <c r="C107" s="54">
        <v>58</v>
      </c>
      <c r="D107" s="53" t="s">
        <v>42</v>
      </c>
      <c r="E107" s="53" t="s">
        <v>96</v>
      </c>
      <c r="F107" s="54">
        <v>0</v>
      </c>
      <c r="G107" s="54">
        <v>0</v>
      </c>
      <c r="H107" s="54"/>
      <c r="I107" s="55">
        <f t="shared" si="13"/>
        <v>58</v>
      </c>
      <c r="J107" s="54"/>
      <c r="K107" s="42">
        <f t="shared" si="14"/>
        <v>0</v>
      </c>
      <c r="L107" s="54">
        <v>0</v>
      </c>
      <c r="M107" s="53" t="str">
        <f t="shared" si="15"/>
        <v>NO</v>
      </c>
      <c r="N107" s="52" t="str">
        <f t="shared" ca="1" si="12"/>
        <v/>
      </c>
    </row>
    <row r="108" spans="1:14" ht="15" customHeight="1">
      <c r="A108" s="64">
        <v>6106</v>
      </c>
      <c r="B108" s="51" t="s">
        <v>97</v>
      </c>
      <c r="C108" s="49">
        <v>9</v>
      </c>
      <c r="D108" s="48" t="s">
        <v>42</v>
      </c>
      <c r="E108" s="48" t="s">
        <v>96</v>
      </c>
      <c r="F108" s="49">
        <v>0</v>
      </c>
      <c r="G108" s="49">
        <v>0</v>
      </c>
      <c r="H108" s="49"/>
      <c r="I108" s="50">
        <f t="shared" si="13"/>
        <v>9</v>
      </c>
      <c r="J108" s="49"/>
      <c r="K108" s="42">
        <f t="shared" si="14"/>
        <v>0</v>
      </c>
      <c r="L108" s="49">
        <v>0</v>
      </c>
      <c r="M108" s="48" t="str">
        <f t="shared" si="15"/>
        <v>NO</v>
      </c>
      <c r="N108" s="47" t="str">
        <f t="shared" ca="1" si="12"/>
        <v/>
      </c>
    </row>
    <row r="109" spans="1:14" ht="15" customHeight="1">
      <c r="A109" s="64">
        <v>6107</v>
      </c>
      <c r="B109" s="46" t="s">
        <v>95</v>
      </c>
      <c r="C109" s="54">
        <v>44</v>
      </c>
      <c r="D109" s="53" t="s">
        <v>42</v>
      </c>
      <c r="E109" s="53" t="s">
        <v>85</v>
      </c>
      <c r="F109" s="54">
        <v>0</v>
      </c>
      <c r="G109" s="54">
        <v>0</v>
      </c>
      <c r="H109" s="54"/>
      <c r="I109" s="55">
        <f t="shared" si="13"/>
        <v>44</v>
      </c>
      <c r="J109" s="54"/>
      <c r="K109" s="42">
        <f t="shared" si="14"/>
        <v>0</v>
      </c>
      <c r="L109" s="54">
        <v>0</v>
      </c>
      <c r="M109" s="53" t="str">
        <f t="shared" si="15"/>
        <v>NO</v>
      </c>
      <c r="N109" s="52" t="str">
        <f t="shared" ca="1" si="12"/>
        <v/>
      </c>
    </row>
    <row r="110" spans="1:14" ht="15" customHeight="1">
      <c r="A110" s="64">
        <v>6108</v>
      </c>
      <c r="B110" s="51" t="s">
        <v>94</v>
      </c>
      <c r="C110" s="49">
        <v>20</v>
      </c>
      <c r="D110" s="48" t="s">
        <v>42</v>
      </c>
      <c r="E110" s="48" t="s">
        <v>85</v>
      </c>
      <c r="F110" s="49">
        <v>0</v>
      </c>
      <c r="G110" s="49">
        <v>15</v>
      </c>
      <c r="H110" s="49"/>
      <c r="I110" s="50">
        <f t="shared" si="13"/>
        <v>5</v>
      </c>
      <c r="J110" s="49"/>
      <c r="K110" s="42">
        <f t="shared" si="14"/>
        <v>0</v>
      </c>
      <c r="L110" s="49">
        <v>0</v>
      </c>
      <c r="M110" s="48" t="str">
        <f t="shared" si="15"/>
        <v>NO</v>
      </c>
      <c r="N110" s="47">
        <f t="shared" ca="1" si="12"/>
        <v>46178</v>
      </c>
    </row>
    <row r="111" spans="1:14" ht="15" customHeight="1">
      <c r="A111" s="64">
        <v>6109</v>
      </c>
      <c r="B111" s="46" t="s">
        <v>93</v>
      </c>
      <c r="C111" s="54">
        <v>46</v>
      </c>
      <c r="D111" s="53" t="s">
        <v>42</v>
      </c>
      <c r="E111" s="53" t="s">
        <v>92</v>
      </c>
      <c r="F111" s="54">
        <v>0</v>
      </c>
      <c r="G111" s="54">
        <v>0</v>
      </c>
      <c r="H111" s="54"/>
      <c r="I111" s="55">
        <f t="shared" si="13"/>
        <v>46</v>
      </c>
      <c r="J111" s="54"/>
      <c r="K111" s="42">
        <f t="shared" si="14"/>
        <v>0</v>
      </c>
      <c r="L111" s="54">
        <v>0</v>
      </c>
      <c r="M111" s="53" t="str">
        <f t="shared" si="15"/>
        <v>NO</v>
      </c>
      <c r="N111" s="52" t="str">
        <f t="shared" ca="1" si="12"/>
        <v/>
      </c>
    </row>
    <row r="112" spans="1:14" ht="15" customHeight="1">
      <c r="A112" s="64">
        <v>6110</v>
      </c>
      <c r="B112" s="51" t="s">
        <v>91</v>
      </c>
      <c r="C112" s="49">
        <v>10</v>
      </c>
      <c r="D112" s="48" t="s">
        <v>42</v>
      </c>
      <c r="E112" s="48" t="s">
        <v>85</v>
      </c>
      <c r="F112" s="49">
        <v>0</v>
      </c>
      <c r="G112" s="49">
        <v>0</v>
      </c>
      <c r="H112" s="49"/>
      <c r="I112" s="50">
        <f t="shared" si="13"/>
        <v>10</v>
      </c>
      <c r="J112" s="49"/>
      <c r="K112" s="42">
        <f t="shared" si="14"/>
        <v>0</v>
      </c>
      <c r="L112" s="49">
        <v>0</v>
      </c>
      <c r="M112" s="48" t="str">
        <f t="shared" si="15"/>
        <v>NO</v>
      </c>
      <c r="N112" s="47" t="str">
        <f t="shared" ca="1" si="12"/>
        <v/>
      </c>
    </row>
    <row r="113" spans="1:14" ht="15" customHeight="1">
      <c r="A113" s="64">
        <v>6111</v>
      </c>
      <c r="B113" s="46" t="s">
        <v>90</v>
      </c>
      <c r="C113" s="54">
        <v>6</v>
      </c>
      <c r="D113" s="53" t="s">
        <v>42</v>
      </c>
      <c r="E113" s="53" t="s">
        <v>85</v>
      </c>
      <c r="F113" s="54">
        <v>0</v>
      </c>
      <c r="G113" s="54">
        <v>0</v>
      </c>
      <c r="H113" s="54"/>
      <c r="I113" s="55">
        <f t="shared" si="13"/>
        <v>6</v>
      </c>
      <c r="J113" s="54"/>
      <c r="K113" s="42">
        <f t="shared" si="14"/>
        <v>0</v>
      </c>
      <c r="L113" s="54">
        <v>0</v>
      </c>
      <c r="M113" s="53" t="str">
        <f t="shared" si="15"/>
        <v>NO</v>
      </c>
      <c r="N113" s="52" t="str">
        <f t="shared" ca="1" si="12"/>
        <v/>
      </c>
    </row>
    <row r="114" spans="1:14" ht="15" customHeight="1">
      <c r="A114" s="64">
        <v>6112</v>
      </c>
      <c r="B114" s="51" t="s">
        <v>89</v>
      </c>
      <c r="C114" s="49">
        <v>44</v>
      </c>
      <c r="D114" s="48" t="s">
        <v>42</v>
      </c>
      <c r="E114" s="48"/>
      <c r="F114" s="49">
        <v>0</v>
      </c>
      <c r="G114" s="49">
        <v>0</v>
      </c>
      <c r="H114" s="49"/>
      <c r="I114" s="50">
        <f t="shared" si="13"/>
        <v>44</v>
      </c>
      <c r="J114" s="49"/>
      <c r="K114" s="42">
        <f t="shared" si="14"/>
        <v>0</v>
      </c>
      <c r="L114" s="49">
        <v>0</v>
      </c>
      <c r="M114" s="48" t="str">
        <f t="shared" si="15"/>
        <v>NO</v>
      </c>
      <c r="N114" s="47" t="str">
        <f t="shared" ca="1" si="12"/>
        <v/>
      </c>
    </row>
    <row r="115" spans="1:14" ht="15" customHeight="1">
      <c r="A115" s="64">
        <v>6113</v>
      </c>
      <c r="B115" s="46" t="s">
        <v>88</v>
      </c>
      <c r="C115" s="54">
        <v>2</v>
      </c>
      <c r="D115" s="53" t="s">
        <v>87</v>
      </c>
      <c r="E115" s="53"/>
      <c r="F115" s="54">
        <v>0</v>
      </c>
      <c r="G115" s="54">
        <v>0</v>
      </c>
      <c r="H115" s="54"/>
      <c r="I115" s="55">
        <f t="shared" si="13"/>
        <v>2</v>
      </c>
      <c r="J115" s="54"/>
      <c r="K115" s="42">
        <f t="shared" si="14"/>
        <v>0</v>
      </c>
      <c r="L115" s="54">
        <v>0</v>
      </c>
      <c r="M115" s="53" t="str">
        <f t="shared" si="15"/>
        <v>NO</v>
      </c>
      <c r="N115" s="52" t="str">
        <f t="shared" ca="1" si="12"/>
        <v/>
      </c>
    </row>
    <row r="116" spans="1:14" ht="15" customHeight="1">
      <c r="A116" s="64">
        <v>6114</v>
      </c>
      <c r="B116" s="51" t="s">
        <v>86</v>
      </c>
      <c r="C116" s="49">
        <v>8</v>
      </c>
      <c r="D116" s="48" t="s">
        <v>42</v>
      </c>
      <c r="E116" s="48" t="s">
        <v>85</v>
      </c>
      <c r="F116" s="49">
        <v>0</v>
      </c>
      <c r="G116" s="49">
        <v>0</v>
      </c>
      <c r="H116" s="49"/>
      <c r="I116" s="50">
        <f t="shared" si="13"/>
        <v>8</v>
      </c>
      <c r="J116" s="49"/>
      <c r="K116" s="42">
        <f t="shared" si="14"/>
        <v>0</v>
      </c>
      <c r="L116" s="49">
        <v>0</v>
      </c>
      <c r="M116" s="48" t="str">
        <f t="shared" si="15"/>
        <v>NO</v>
      </c>
      <c r="N116" s="47" t="str">
        <f t="shared" ca="1" si="12"/>
        <v/>
      </c>
    </row>
    <row r="117" spans="1:14" ht="15" customHeight="1">
      <c r="A117" s="64">
        <v>6115</v>
      </c>
      <c r="B117" s="46" t="s">
        <v>84</v>
      </c>
      <c r="C117" s="54">
        <v>4</v>
      </c>
      <c r="D117" s="53" t="s">
        <v>83</v>
      </c>
      <c r="E117" s="53"/>
      <c r="F117" s="54">
        <v>0</v>
      </c>
      <c r="G117" s="54">
        <v>0</v>
      </c>
      <c r="H117" s="54"/>
      <c r="I117" s="55">
        <f t="shared" si="13"/>
        <v>4</v>
      </c>
      <c r="J117" s="54"/>
      <c r="K117" s="42">
        <f t="shared" si="14"/>
        <v>0</v>
      </c>
      <c r="L117" s="54">
        <v>0</v>
      </c>
      <c r="M117" s="53" t="str">
        <f t="shared" si="15"/>
        <v>NO</v>
      </c>
      <c r="N117" s="52" t="str">
        <f t="shared" ca="1" si="12"/>
        <v/>
      </c>
    </row>
    <row r="118" spans="1:14" ht="15" customHeight="1">
      <c r="A118" s="64">
        <v>6116</v>
      </c>
      <c r="B118" s="51" t="s">
        <v>82</v>
      </c>
      <c r="C118" s="49">
        <v>1</v>
      </c>
      <c r="D118" s="48" t="s">
        <v>43</v>
      </c>
      <c r="E118" s="48"/>
      <c r="F118" s="49">
        <v>0</v>
      </c>
      <c r="G118" s="49">
        <v>0</v>
      </c>
      <c r="H118" s="49"/>
      <c r="I118" s="50">
        <f t="shared" si="13"/>
        <v>1</v>
      </c>
      <c r="J118" s="49"/>
      <c r="K118" s="42">
        <f t="shared" si="14"/>
        <v>0</v>
      </c>
      <c r="L118" s="49">
        <v>0</v>
      </c>
      <c r="M118" s="48" t="str">
        <f t="shared" si="15"/>
        <v>NO</v>
      </c>
      <c r="N118" s="47" t="str">
        <f t="shared" ca="1" si="12"/>
        <v/>
      </c>
    </row>
    <row r="119" spans="1:14" ht="15" customHeight="1">
      <c r="A119" s="64">
        <v>6117</v>
      </c>
      <c r="B119" s="46" t="s">
        <v>81</v>
      </c>
      <c r="C119" s="54">
        <v>3</v>
      </c>
      <c r="D119" s="53" t="s">
        <v>42</v>
      </c>
      <c r="E119" s="53"/>
      <c r="F119" s="54">
        <v>0</v>
      </c>
      <c r="G119" s="54">
        <v>0</v>
      </c>
      <c r="H119" s="54"/>
      <c r="I119" s="55">
        <f t="shared" si="13"/>
        <v>3</v>
      </c>
      <c r="J119" s="54"/>
      <c r="K119" s="42">
        <f t="shared" si="14"/>
        <v>0</v>
      </c>
      <c r="L119" s="54">
        <v>0</v>
      </c>
      <c r="M119" s="53" t="str">
        <f t="shared" si="15"/>
        <v>NO</v>
      </c>
      <c r="N119" s="52" t="str">
        <f t="shared" ca="1" si="12"/>
        <v/>
      </c>
    </row>
    <row r="120" spans="1:14" ht="15" customHeight="1">
      <c r="A120" s="64">
        <v>6118</v>
      </c>
      <c r="B120" s="51" t="s">
        <v>80</v>
      </c>
      <c r="C120" s="49">
        <v>44</v>
      </c>
      <c r="D120" s="48" t="s">
        <v>42</v>
      </c>
      <c r="E120" s="48" t="s">
        <v>79</v>
      </c>
      <c r="F120" s="49">
        <v>0</v>
      </c>
      <c r="G120" s="49">
        <v>0</v>
      </c>
      <c r="H120" s="49"/>
      <c r="I120" s="50">
        <f t="shared" si="13"/>
        <v>44</v>
      </c>
      <c r="J120" s="49"/>
      <c r="K120" s="42">
        <f t="shared" si="14"/>
        <v>0</v>
      </c>
      <c r="L120" s="49">
        <v>0</v>
      </c>
      <c r="M120" s="48" t="str">
        <f t="shared" si="15"/>
        <v>NO</v>
      </c>
      <c r="N120" s="47" t="str">
        <f t="shared" ca="1" si="12"/>
        <v/>
      </c>
    </row>
    <row r="121" spans="1:14" ht="15" customHeight="1">
      <c r="A121" s="64">
        <v>6119</v>
      </c>
      <c r="B121" s="46" t="s">
        <v>78</v>
      </c>
      <c r="C121" s="54">
        <v>14</v>
      </c>
      <c r="D121" s="53" t="s">
        <v>42</v>
      </c>
      <c r="E121" s="53"/>
      <c r="F121" s="44">
        <v>0</v>
      </c>
      <c r="G121" s="54">
        <v>0</v>
      </c>
      <c r="H121" s="54"/>
      <c r="I121" s="55">
        <f t="shared" si="13"/>
        <v>14</v>
      </c>
      <c r="J121" s="54"/>
      <c r="K121" s="42">
        <f t="shared" si="14"/>
        <v>0</v>
      </c>
      <c r="L121" s="54">
        <v>0</v>
      </c>
      <c r="M121" s="53" t="str">
        <f t="shared" si="15"/>
        <v>NO</v>
      </c>
      <c r="N121" s="52" t="str">
        <f t="shared" ca="1" si="12"/>
        <v/>
      </c>
    </row>
    <row r="122" spans="1:14" ht="15" customHeight="1">
      <c r="A122" s="64">
        <v>6120</v>
      </c>
      <c r="B122" s="51" t="s">
        <v>77</v>
      </c>
      <c r="C122" s="49">
        <v>5</v>
      </c>
      <c r="D122" s="48" t="s">
        <v>42</v>
      </c>
      <c r="E122" s="48"/>
      <c r="F122" s="49">
        <v>0</v>
      </c>
      <c r="G122" s="49">
        <v>0</v>
      </c>
      <c r="H122" s="49"/>
      <c r="I122" s="50">
        <f t="shared" si="13"/>
        <v>5</v>
      </c>
      <c r="J122" s="49"/>
      <c r="K122" s="42">
        <f t="shared" si="14"/>
        <v>0</v>
      </c>
      <c r="L122" s="49">
        <v>0</v>
      </c>
      <c r="M122" s="48" t="str">
        <f t="shared" si="15"/>
        <v>NO</v>
      </c>
      <c r="N122" s="47" t="str">
        <f t="shared" ca="1" si="12"/>
        <v/>
      </c>
    </row>
    <row r="123" spans="1:14" ht="15" customHeight="1">
      <c r="A123" s="64">
        <v>6121</v>
      </c>
      <c r="B123" s="46" t="s">
        <v>76</v>
      </c>
      <c r="C123" s="38">
        <v>19</v>
      </c>
      <c r="D123" s="38" t="s">
        <v>42</v>
      </c>
      <c r="E123" s="38"/>
      <c r="F123" s="44">
        <v>0</v>
      </c>
      <c r="G123" s="44">
        <v>0</v>
      </c>
      <c r="H123" s="38"/>
      <c r="I123" s="44">
        <f t="shared" si="13"/>
        <v>19</v>
      </c>
      <c r="J123" s="38"/>
      <c r="K123" s="42">
        <f t="shared" si="14"/>
        <v>0</v>
      </c>
      <c r="L123" s="44">
        <v>0</v>
      </c>
      <c r="M123" s="44" t="str">
        <f t="shared" si="15"/>
        <v>NO</v>
      </c>
      <c r="N123" s="38"/>
    </row>
    <row r="124" spans="1:14" ht="15" customHeight="1">
      <c r="A124" s="64">
        <v>6122</v>
      </c>
      <c r="B124" s="39" t="s">
        <v>75</v>
      </c>
      <c r="C124" s="38">
        <v>3</v>
      </c>
      <c r="D124" s="38" t="s">
        <v>73</v>
      </c>
      <c r="E124" s="38" t="s">
        <v>72</v>
      </c>
      <c r="F124" s="41">
        <v>0</v>
      </c>
      <c r="G124" s="41">
        <v>0</v>
      </c>
      <c r="H124" s="38"/>
      <c r="I124" s="41">
        <f t="shared" si="13"/>
        <v>3</v>
      </c>
      <c r="J124" s="38"/>
      <c r="K124" s="42">
        <f t="shared" si="14"/>
        <v>0</v>
      </c>
      <c r="L124" s="41">
        <v>0</v>
      </c>
      <c r="M124" s="41" t="str">
        <f t="shared" si="15"/>
        <v>NO</v>
      </c>
      <c r="N124" s="38"/>
    </row>
    <row r="125" spans="1:14" ht="15" customHeight="1">
      <c r="A125" s="64">
        <v>6123</v>
      </c>
      <c r="B125" s="39" t="s">
        <v>74</v>
      </c>
      <c r="C125" s="38">
        <v>3</v>
      </c>
      <c r="D125" s="38" t="s">
        <v>73</v>
      </c>
      <c r="E125" s="38" t="s">
        <v>72</v>
      </c>
      <c r="F125" s="44">
        <v>0</v>
      </c>
      <c r="G125" s="44">
        <v>0</v>
      </c>
      <c r="H125" s="38"/>
      <c r="I125" s="44">
        <f t="shared" si="13"/>
        <v>3</v>
      </c>
      <c r="J125" s="38"/>
      <c r="K125" s="42">
        <f t="shared" si="14"/>
        <v>0</v>
      </c>
      <c r="L125" s="44">
        <v>0</v>
      </c>
      <c r="M125" s="44" t="str">
        <f t="shared" si="15"/>
        <v>NO</v>
      </c>
      <c r="N125" s="38"/>
    </row>
    <row r="126" spans="1:14" ht="15" customHeight="1">
      <c r="A126" s="64">
        <v>6124</v>
      </c>
      <c r="B126" s="39" t="s">
        <v>71</v>
      </c>
      <c r="C126" s="38">
        <v>2</v>
      </c>
      <c r="D126" s="38" t="s">
        <v>46</v>
      </c>
      <c r="E126" s="38"/>
      <c r="F126" s="38">
        <v>0</v>
      </c>
      <c r="G126" s="38">
        <v>0</v>
      </c>
      <c r="H126" s="38"/>
      <c r="I126" s="38">
        <f t="shared" si="13"/>
        <v>2</v>
      </c>
      <c r="J126" s="38"/>
      <c r="K126" s="42">
        <f t="shared" si="14"/>
        <v>0</v>
      </c>
      <c r="L126" s="38">
        <v>0</v>
      </c>
      <c r="M126" s="38" t="str">
        <f t="shared" si="15"/>
        <v>NO</v>
      </c>
      <c r="N126" s="38" t="str">
        <f ca="1">IF(OR(F126&lt;&gt;0,G126&lt;&gt;0),TODAY(),"")</f>
        <v/>
      </c>
    </row>
    <row r="127" spans="1:14" ht="15" customHeight="1">
      <c r="A127" s="64">
        <v>6125</v>
      </c>
      <c r="B127" s="39" t="s">
        <v>70</v>
      </c>
      <c r="C127" s="38">
        <v>2</v>
      </c>
      <c r="D127" s="38" t="s">
        <v>46</v>
      </c>
      <c r="E127" s="38"/>
      <c r="F127" s="38">
        <v>0</v>
      </c>
      <c r="G127" s="38">
        <v>0</v>
      </c>
      <c r="H127" s="38"/>
      <c r="I127" s="44">
        <f t="shared" si="13"/>
        <v>2</v>
      </c>
      <c r="J127" s="38"/>
      <c r="K127" s="42">
        <f t="shared" si="14"/>
        <v>0</v>
      </c>
      <c r="L127" s="38">
        <v>0</v>
      </c>
      <c r="M127" s="44" t="str">
        <f t="shared" si="15"/>
        <v>NO</v>
      </c>
      <c r="N127" s="43" t="str">
        <f ca="1">IF(OR(F127&lt;&gt;0,G127&lt;&gt;0),TODAY(),"")</f>
        <v/>
      </c>
    </row>
    <row r="128" spans="1:14" ht="15" customHeight="1">
      <c r="A128" s="64">
        <v>6126</v>
      </c>
      <c r="B128" s="39" t="s">
        <v>69</v>
      </c>
      <c r="C128" s="38">
        <v>23</v>
      </c>
      <c r="D128" s="38" t="s">
        <v>42</v>
      </c>
      <c r="E128" s="38"/>
      <c r="F128" s="38">
        <v>1</v>
      </c>
      <c r="G128" s="38">
        <v>0</v>
      </c>
      <c r="H128" s="38"/>
      <c r="I128" s="41">
        <f t="shared" si="13"/>
        <v>24</v>
      </c>
      <c r="J128" s="38"/>
      <c r="K128" s="42">
        <f t="shared" si="14"/>
        <v>0</v>
      </c>
      <c r="L128" s="38">
        <v>0</v>
      </c>
      <c r="M128" s="41" t="str">
        <f t="shared" si="15"/>
        <v>NO</v>
      </c>
      <c r="N128" s="40" t="str">
        <f ca="1">N132</f>
        <v/>
      </c>
    </row>
    <row r="129" spans="1:14" ht="15" customHeight="1">
      <c r="A129" s="64">
        <v>6127</v>
      </c>
      <c r="B129" s="39" t="s">
        <v>68</v>
      </c>
      <c r="C129" s="38">
        <v>19</v>
      </c>
      <c r="D129" s="38"/>
      <c r="E129" s="38" t="s">
        <v>67</v>
      </c>
      <c r="F129" s="38">
        <v>0</v>
      </c>
      <c r="G129" s="38">
        <v>0</v>
      </c>
      <c r="H129" s="38"/>
      <c r="I129" s="38">
        <f t="shared" si="13"/>
        <v>19</v>
      </c>
      <c r="J129" s="38"/>
      <c r="K129" s="42">
        <f t="shared" si="14"/>
        <v>0</v>
      </c>
      <c r="L129" s="38">
        <v>0</v>
      </c>
      <c r="M129" s="41" t="str">
        <f t="shared" si="15"/>
        <v>NO</v>
      </c>
      <c r="N129" s="40"/>
    </row>
    <row r="130" spans="1:14" ht="15" customHeight="1">
      <c r="A130" s="64">
        <v>6128</v>
      </c>
      <c r="B130" s="39" t="s">
        <v>66</v>
      </c>
      <c r="C130" s="38">
        <v>16</v>
      </c>
      <c r="D130" s="38" t="s">
        <v>42</v>
      </c>
      <c r="E130" s="38" t="s">
        <v>65</v>
      </c>
      <c r="F130" s="38">
        <v>0</v>
      </c>
      <c r="G130" s="38">
        <v>3</v>
      </c>
      <c r="H130" s="38"/>
      <c r="I130" s="44">
        <f t="shared" ref="I130:I151" si="16">C130+F130-G130</f>
        <v>13</v>
      </c>
      <c r="J130" s="38"/>
      <c r="K130" s="42">
        <f t="shared" ref="K130:K151" si="17">I130*J130</f>
        <v>0</v>
      </c>
      <c r="L130" s="38">
        <v>0</v>
      </c>
      <c r="M130" s="44" t="str">
        <f t="shared" ref="M130:M151" si="18">IF(I130&lt;=L130,"YES","NO")</f>
        <v>NO</v>
      </c>
      <c r="N130" s="43">
        <f t="shared" ref="N130:N136" ca="1" si="19">IF(OR(F130&lt;&gt;0,G130&lt;&gt;0),TODAY(),"")</f>
        <v>46178</v>
      </c>
    </row>
    <row r="131" spans="1:14" ht="15" customHeight="1">
      <c r="A131" s="64">
        <v>6129</v>
      </c>
      <c r="B131" s="39" t="s">
        <v>64</v>
      </c>
      <c r="C131" s="38">
        <v>25</v>
      </c>
      <c r="D131" s="38" t="s">
        <v>42</v>
      </c>
      <c r="E131" s="38"/>
      <c r="F131" s="38">
        <v>0</v>
      </c>
      <c r="G131" s="38">
        <v>0</v>
      </c>
      <c r="H131" s="38"/>
      <c r="I131" s="38">
        <f t="shared" si="16"/>
        <v>25</v>
      </c>
      <c r="J131" s="38"/>
      <c r="K131" s="42">
        <f t="shared" si="17"/>
        <v>0</v>
      </c>
      <c r="L131" s="38">
        <v>0</v>
      </c>
      <c r="M131" s="41" t="str">
        <f t="shared" si="18"/>
        <v>NO</v>
      </c>
      <c r="N131" s="40" t="str">
        <f t="shared" ca="1" si="19"/>
        <v/>
      </c>
    </row>
    <row r="132" spans="1:14" ht="15" customHeight="1">
      <c r="A132" s="64">
        <v>6130</v>
      </c>
      <c r="B132" s="39" t="s">
        <v>63</v>
      </c>
      <c r="C132" s="38">
        <v>3.5</v>
      </c>
      <c r="D132" s="38" t="s">
        <v>46</v>
      </c>
      <c r="E132" s="38"/>
      <c r="F132" s="38">
        <v>0</v>
      </c>
      <c r="G132" s="38">
        <v>0</v>
      </c>
      <c r="H132" s="38"/>
      <c r="I132" s="44">
        <f t="shared" si="16"/>
        <v>3.5</v>
      </c>
      <c r="J132" s="38"/>
      <c r="K132" s="42">
        <f t="shared" si="17"/>
        <v>0</v>
      </c>
      <c r="L132" s="38">
        <v>0</v>
      </c>
      <c r="M132" s="44" t="str">
        <f t="shared" si="18"/>
        <v>NO</v>
      </c>
      <c r="N132" s="43" t="str">
        <f t="shared" ca="1" si="19"/>
        <v/>
      </c>
    </row>
    <row r="133" spans="1:14" ht="15" customHeight="1">
      <c r="A133" s="64">
        <v>6131</v>
      </c>
      <c r="B133" s="39" t="s">
        <v>62</v>
      </c>
      <c r="C133" s="38">
        <v>1</v>
      </c>
      <c r="D133" s="38" t="s">
        <v>46</v>
      </c>
      <c r="E133" s="38"/>
      <c r="F133" s="38">
        <v>0</v>
      </c>
      <c r="G133" s="38">
        <v>0</v>
      </c>
      <c r="H133" s="38"/>
      <c r="I133" s="38">
        <f t="shared" si="16"/>
        <v>1</v>
      </c>
      <c r="J133" s="38"/>
      <c r="K133" s="42">
        <f t="shared" si="17"/>
        <v>0</v>
      </c>
      <c r="L133" s="38">
        <v>0</v>
      </c>
      <c r="M133" s="41" t="str">
        <f t="shared" si="18"/>
        <v>NO</v>
      </c>
      <c r="N133" s="40" t="str">
        <f t="shared" ca="1" si="19"/>
        <v/>
      </c>
    </row>
    <row r="134" spans="1:14" ht="15" customHeight="1">
      <c r="A134" s="64">
        <v>6132</v>
      </c>
      <c r="B134" s="39" t="s">
        <v>61</v>
      </c>
      <c r="C134" s="38">
        <v>1</v>
      </c>
      <c r="D134" s="38" t="s">
        <v>46</v>
      </c>
      <c r="E134" s="38"/>
      <c r="F134" s="38">
        <v>0</v>
      </c>
      <c r="G134" s="38">
        <v>0</v>
      </c>
      <c r="H134" s="38"/>
      <c r="I134" s="44">
        <f t="shared" si="16"/>
        <v>1</v>
      </c>
      <c r="J134" s="38"/>
      <c r="K134" s="42">
        <f t="shared" si="17"/>
        <v>0</v>
      </c>
      <c r="L134" s="38">
        <v>0</v>
      </c>
      <c r="M134" s="44" t="str">
        <f t="shared" si="18"/>
        <v>NO</v>
      </c>
      <c r="N134" s="43" t="str">
        <f t="shared" ca="1" si="19"/>
        <v/>
      </c>
    </row>
    <row r="135" spans="1:14" ht="15" customHeight="1">
      <c r="A135" s="64">
        <v>6133</v>
      </c>
      <c r="B135" s="39" t="s">
        <v>60</v>
      </c>
      <c r="C135" s="38">
        <v>66</v>
      </c>
      <c r="D135" s="38" t="s">
        <v>42</v>
      </c>
      <c r="E135" s="38"/>
      <c r="F135" s="38">
        <v>0</v>
      </c>
      <c r="G135" s="38">
        <v>1</v>
      </c>
      <c r="H135" s="38"/>
      <c r="I135" s="38">
        <f t="shared" si="16"/>
        <v>65</v>
      </c>
      <c r="J135" s="38"/>
      <c r="K135" s="42">
        <f t="shared" si="17"/>
        <v>0</v>
      </c>
      <c r="L135" s="38">
        <v>0</v>
      </c>
      <c r="M135" s="41" t="str">
        <f t="shared" si="18"/>
        <v>NO</v>
      </c>
      <c r="N135" s="40">
        <f t="shared" ca="1" si="19"/>
        <v>46178</v>
      </c>
    </row>
    <row r="136" spans="1:14" ht="15" customHeight="1">
      <c r="A136" s="64">
        <v>6134</v>
      </c>
      <c r="B136" s="39" t="s">
        <v>59</v>
      </c>
      <c r="C136" s="38">
        <v>42</v>
      </c>
      <c r="D136" s="38" t="s">
        <v>42</v>
      </c>
      <c r="E136" s="38"/>
      <c r="F136" s="38">
        <v>0</v>
      </c>
      <c r="G136" s="38">
        <v>6</v>
      </c>
      <c r="H136" s="38"/>
      <c r="I136" s="44">
        <f t="shared" si="16"/>
        <v>36</v>
      </c>
      <c r="J136" s="38"/>
      <c r="K136" s="42">
        <f t="shared" si="17"/>
        <v>0</v>
      </c>
      <c r="L136" s="38">
        <v>0</v>
      </c>
      <c r="M136" s="44" t="str">
        <f t="shared" si="18"/>
        <v>NO</v>
      </c>
      <c r="N136" s="43">
        <f t="shared" ca="1" si="19"/>
        <v>46178</v>
      </c>
    </row>
    <row r="137" spans="1:14" ht="15" customHeight="1">
      <c r="A137" s="64">
        <v>6135</v>
      </c>
      <c r="B137" s="39" t="s">
        <v>58</v>
      </c>
      <c r="C137" s="38">
        <v>80</v>
      </c>
      <c r="D137" s="38" t="s">
        <v>42</v>
      </c>
      <c r="E137" s="38"/>
      <c r="F137" s="38">
        <v>0</v>
      </c>
      <c r="G137" s="38">
        <v>0</v>
      </c>
      <c r="H137" s="38"/>
      <c r="I137" s="44">
        <f t="shared" si="16"/>
        <v>80</v>
      </c>
      <c r="J137" s="38"/>
      <c r="K137" s="42">
        <f t="shared" si="17"/>
        <v>0</v>
      </c>
      <c r="L137" s="38">
        <v>0</v>
      </c>
      <c r="M137" s="44" t="str">
        <f t="shared" si="18"/>
        <v>NO</v>
      </c>
      <c r="N137" s="43"/>
    </row>
    <row r="138" spans="1:14" ht="15" customHeight="1">
      <c r="A138" s="64">
        <v>6135</v>
      </c>
      <c r="B138" s="39" t="s">
        <v>57</v>
      </c>
      <c r="C138" s="38">
        <v>57</v>
      </c>
      <c r="D138" s="38" t="s">
        <v>42</v>
      </c>
      <c r="E138" s="38"/>
      <c r="F138" s="38">
        <v>0</v>
      </c>
      <c r="G138" s="38">
        <v>2</v>
      </c>
      <c r="H138" s="38"/>
      <c r="I138" s="41">
        <f t="shared" si="16"/>
        <v>55</v>
      </c>
      <c r="J138" s="38"/>
      <c r="K138" s="42">
        <f t="shared" si="17"/>
        <v>0</v>
      </c>
      <c r="L138" s="38">
        <v>0</v>
      </c>
      <c r="M138" s="41" t="str">
        <f t="shared" si="18"/>
        <v>NO</v>
      </c>
      <c r="N138" s="40">
        <f t="shared" ref="N138:N151" ca="1" si="20">IF(OR(F138&lt;&gt;0,G138&lt;&gt;0),TODAY(),"")</f>
        <v>46178</v>
      </c>
    </row>
    <row r="139" spans="1:14" ht="15" customHeight="1">
      <c r="A139" s="64">
        <v>6136</v>
      </c>
      <c r="B139" s="39" t="s">
        <v>56</v>
      </c>
      <c r="C139" s="38">
        <v>13</v>
      </c>
      <c r="D139" s="38" t="s">
        <v>42</v>
      </c>
      <c r="E139" s="38"/>
      <c r="F139" s="38">
        <v>0</v>
      </c>
      <c r="G139" s="38">
        <v>0</v>
      </c>
      <c r="H139" s="38"/>
      <c r="I139" s="44">
        <f t="shared" si="16"/>
        <v>13</v>
      </c>
      <c r="J139" s="38"/>
      <c r="K139" s="42">
        <f t="shared" si="17"/>
        <v>0</v>
      </c>
      <c r="L139" s="38">
        <v>0</v>
      </c>
      <c r="M139" s="44" t="str">
        <f t="shared" si="18"/>
        <v>NO</v>
      </c>
      <c r="N139" s="43" t="str">
        <f t="shared" ca="1" si="20"/>
        <v/>
      </c>
    </row>
    <row r="140" spans="1:14" ht="15" customHeight="1">
      <c r="A140" s="64">
        <v>6137</v>
      </c>
      <c r="B140" s="39" t="s">
        <v>55</v>
      </c>
      <c r="C140" s="38">
        <v>36</v>
      </c>
      <c r="D140" s="38" t="s">
        <v>42</v>
      </c>
      <c r="E140" s="38"/>
      <c r="F140" s="38">
        <v>0</v>
      </c>
      <c r="G140" s="38">
        <v>0</v>
      </c>
      <c r="H140" s="38"/>
      <c r="I140" s="41">
        <f t="shared" si="16"/>
        <v>36</v>
      </c>
      <c r="J140" s="38"/>
      <c r="K140" s="42">
        <f t="shared" si="17"/>
        <v>0</v>
      </c>
      <c r="L140" s="38">
        <v>0</v>
      </c>
      <c r="M140" s="41" t="str">
        <f t="shared" si="18"/>
        <v>NO</v>
      </c>
      <c r="N140" s="40" t="str">
        <f t="shared" ca="1" si="20"/>
        <v/>
      </c>
    </row>
    <row r="141" spans="1:14" ht="15" customHeight="1">
      <c r="A141" s="64">
        <v>6138</v>
      </c>
      <c r="B141" s="39" t="s">
        <v>54</v>
      </c>
      <c r="C141" s="38">
        <v>4</v>
      </c>
      <c r="D141" s="38" t="s">
        <v>42</v>
      </c>
      <c r="E141" s="38"/>
      <c r="F141" s="38">
        <v>0</v>
      </c>
      <c r="G141" s="38">
        <v>0</v>
      </c>
      <c r="H141" s="38"/>
      <c r="I141" s="44">
        <f t="shared" si="16"/>
        <v>4</v>
      </c>
      <c r="J141" s="38"/>
      <c r="K141" s="42">
        <f t="shared" si="17"/>
        <v>0</v>
      </c>
      <c r="L141" s="38">
        <v>0</v>
      </c>
      <c r="M141" s="44" t="str">
        <f t="shared" si="18"/>
        <v>NO</v>
      </c>
      <c r="N141" s="43" t="str">
        <f t="shared" ca="1" si="20"/>
        <v/>
      </c>
    </row>
    <row r="142" spans="1:14" ht="15" customHeight="1">
      <c r="A142" s="64">
        <v>6139</v>
      </c>
      <c r="B142" s="39" t="s">
        <v>53</v>
      </c>
      <c r="C142" s="38">
        <v>43</v>
      </c>
      <c r="D142" s="38" t="s">
        <v>42</v>
      </c>
      <c r="E142" s="38"/>
      <c r="F142" s="38">
        <v>0</v>
      </c>
      <c r="G142" s="38">
        <v>0</v>
      </c>
      <c r="H142" s="38"/>
      <c r="I142" s="41">
        <f t="shared" si="16"/>
        <v>43</v>
      </c>
      <c r="J142" s="38"/>
      <c r="K142" s="42">
        <f t="shared" si="17"/>
        <v>0</v>
      </c>
      <c r="L142" s="38">
        <v>0</v>
      </c>
      <c r="M142" s="41" t="str">
        <f t="shared" si="18"/>
        <v>NO</v>
      </c>
      <c r="N142" s="40" t="str">
        <f t="shared" ca="1" si="20"/>
        <v/>
      </c>
    </row>
    <row r="143" spans="1:14" ht="15" customHeight="1">
      <c r="A143" s="64">
        <v>6140</v>
      </c>
      <c r="B143" s="39" t="s">
        <v>52</v>
      </c>
      <c r="C143" s="38">
        <v>39</v>
      </c>
      <c r="D143" s="38" t="s">
        <v>42</v>
      </c>
      <c r="E143" s="38"/>
      <c r="F143" s="38">
        <v>0</v>
      </c>
      <c r="G143" s="38">
        <v>0</v>
      </c>
      <c r="H143" s="38"/>
      <c r="I143" s="44">
        <f t="shared" si="16"/>
        <v>39</v>
      </c>
      <c r="J143" s="38"/>
      <c r="K143" s="42">
        <f t="shared" si="17"/>
        <v>0</v>
      </c>
      <c r="L143" s="38">
        <v>0</v>
      </c>
      <c r="M143" s="44" t="str">
        <f t="shared" si="18"/>
        <v>NO</v>
      </c>
      <c r="N143" s="43" t="str">
        <f t="shared" ca="1" si="20"/>
        <v/>
      </c>
    </row>
    <row r="144" spans="1:14" ht="15" customHeight="1">
      <c r="A144" s="64">
        <v>6142</v>
      </c>
      <c r="B144" s="39" t="s">
        <v>51</v>
      </c>
      <c r="C144" s="38">
        <v>24</v>
      </c>
      <c r="D144" s="38" t="s">
        <v>42</v>
      </c>
      <c r="E144" s="38"/>
      <c r="F144" s="38">
        <v>0</v>
      </c>
      <c r="G144" s="38">
        <v>1</v>
      </c>
      <c r="H144" s="38"/>
      <c r="I144" s="44">
        <f t="shared" si="16"/>
        <v>23</v>
      </c>
      <c r="J144" s="38"/>
      <c r="K144" s="42">
        <f t="shared" si="17"/>
        <v>0</v>
      </c>
      <c r="L144" s="38">
        <v>0</v>
      </c>
      <c r="M144" s="44" t="str">
        <f t="shared" si="18"/>
        <v>NO</v>
      </c>
      <c r="N144" s="43">
        <f t="shared" ca="1" si="20"/>
        <v>46178</v>
      </c>
    </row>
    <row r="145" spans="1:14" ht="15" customHeight="1">
      <c r="A145" s="64">
        <v>6143</v>
      </c>
      <c r="B145" s="39" t="s">
        <v>50</v>
      </c>
      <c r="C145" s="38">
        <v>64</v>
      </c>
      <c r="D145" s="38" t="s">
        <v>42</v>
      </c>
      <c r="E145" s="38"/>
      <c r="F145" s="38">
        <v>0</v>
      </c>
      <c r="G145" s="38">
        <v>0</v>
      </c>
      <c r="H145" s="38"/>
      <c r="I145" s="38">
        <f t="shared" si="16"/>
        <v>64</v>
      </c>
      <c r="J145" s="38"/>
      <c r="K145" s="42">
        <f t="shared" si="17"/>
        <v>0</v>
      </c>
      <c r="L145" s="38">
        <v>0</v>
      </c>
      <c r="M145" s="41" t="str">
        <f t="shared" si="18"/>
        <v>NO</v>
      </c>
      <c r="N145" s="40" t="str">
        <f t="shared" ca="1" si="20"/>
        <v/>
      </c>
    </row>
    <row r="146" spans="1:14" ht="15" customHeight="1">
      <c r="A146" s="64">
        <v>6144</v>
      </c>
      <c r="B146" s="39" t="s">
        <v>49</v>
      </c>
      <c r="C146" s="38">
        <v>56</v>
      </c>
      <c r="D146" s="38" t="s">
        <v>42</v>
      </c>
      <c r="E146" s="38"/>
      <c r="F146" s="38">
        <v>0</v>
      </c>
      <c r="G146" s="38">
        <v>1</v>
      </c>
      <c r="H146" s="38"/>
      <c r="I146" s="44">
        <f t="shared" si="16"/>
        <v>55</v>
      </c>
      <c r="J146" s="38"/>
      <c r="K146" s="42">
        <f t="shared" si="17"/>
        <v>0</v>
      </c>
      <c r="L146" s="38">
        <v>0</v>
      </c>
      <c r="M146" s="44" t="str">
        <f t="shared" si="18"/>
        <v>NO</v>
      </c>
      <c r="N146" s="43">
        <f t="shared" ca="1" si="20"/>
        <v>46178</v>
      </c>
    </row>
    <row r="147" spans="1:14" ht="15" customHeight="1">
      <c r="A147" s="64">
        <v>6145</v>
      </c>
      <c r="B147" s="39" t="s">
        <v>48</v>
      </c>
      <c r="C147" s="38">
        <v>68</v>
      </c>
      <c r="D147" s="38" t="s">
        <v>42</v>
      </c>
      <c r="E147" s="38"/>
      <c r="F147" s="38">
        <v>0</v>
      </c>
      <c r="G147" s="38">
        <v>0</v>
      </c>
      <c r="H147" s="38"/>
      <c r="I147" s="38">
        <f t="shared" si="16"/>
        <v>68</v>
      </c>
      <c r="J147" s="38"/>
      <c r="K147" s="42">
        <f t="shared" si="17"/>
        <v>0</v>
      </c>
      <c r="L147" s="38">
        <v>0</v>
      </c>
      <c r="M147" s="41" t="str">
        <f t="shared" si="18"/>
        <v>NO</v>
      </c>
      <c r="N147" s="40" t="str">
        <f t="shared" ca="1" si="20"/>
        <v/>
      </c>
    </row>
    <row r="148" spans="1:14" ht="15" customHeight="1">
      <c r="A148" s="64">
        <v>6146</v>
      </c>
      <c r="B148" s="39" t="s">
        <v>47</v>
      </c>
      <c r="C148" s="38">
        <v>2</v>
      </c>
      <c r="D148" s="38" t="s">
        <v>46</v>
      </c>
      <c r="E148" s="38"/>
      <c r="F148" s="38">
        <v>0</v>
      </c>
      <c r="G148" s="38">
        <v>0</v>
      </c>
      <c r="H148" s="38"/>
      <c r="I148" s="44">
        <f t="shared" si="16"/>
        <v>2</v>
      </c>
      <c r="J148" s="38"/>
      <c r="K148" s="42">
        <f t="shared" si="17"/>
        <v>0</v>
      </c>
      <c r="L148" s="38">
        <v>0</v>
      </c>
      <c r="M148" s="44" t="str">
        <f t="shared" si="18"/>
        <v>NO</v>
      </c>
      <c r="N148" s="43" t="str">
        <f t="shared" ca="1" si="20"/>
        <v/>
      </c>
    </row>
    <row r="149" spans="1:14" ht="15" customHeight="1">
      <c r="A149" s="64">
        <v>6147</v>
      </c>
      <c r="B149" s="45" t="s">
        <v>45</v>
      </c>
      <c r="C149" s="37">
        <v>3</v>
      </c>
      <c r="D149" s="37" t="s">
        <v>43</v>
      </c>
      <c r="F149" s="37">
        <v>0</v>
      </c>
      <c r="G149" s="37">
        <v>0</v>
      </c>
      <c r="I149" s="38">
        <f t="shared" si="16"/>
        <v>3</v>
      </c>
      <c r="K149" s="42">
        <f t="shared" si="17"/>
        <v>0</v>
      </c>
      <c r="L149" s="37">
        <v>0</v>
      </c>
      <c r="M149" s="41" t="str">
        <f t="shared" si="18"/>
        <v>NO</v>
      </c>
      <c r="N149" s="40" t="str">
        <f t="shared" ca="1" si="20"/>
        <v/>
      </c>
    </row>
    <row r="150" spans="1:14" ht="15" customHeight="1">
      <c r="A150" s="64">
        <v>6148</v>
      </c>
      <c r="B150" s="45" t="s">
        <v>44</v>
      </c>
      <c r="C150" s="37">
        <v>6</v>
      </c>
      <c r="D150" s="37" t="s">
        <v>43</v>
      </c>
      <c r="F150" s="37">
        <v>0</v>
      </c>
      <c r="G150" s="37">
        <v>0</v>
      </c>
      <c r="I150" s="44">
        <f t="shared" si="16"/>
        <v>6</v>
      </c>
      <c r="K150" s="42">
        <f t="shared" si="17"/>
        <v>0</v>
      </c>
      <c r="L150" s="37">
        <v>0</v>
      </c>
      <c r="M150" s="44" t="str">
        <f t="shared" si="18"/>
        <v>NO</v>
      </c>
      <c r="N150" s="43" t="str">
        <f t="shared" ca="1" si="20"/>
        <v/>
      </c>
    </row>
    <row r="151" spans="1:14" ht="15" customHeight="1">
      <c r="A151" s="64">
        <v>6149</v>
      </c>
      <c r="B151" s="39" t="s">
        <v>231</v>
      </c>
      <c r="C151" s="38">
        <v>46</v>
      </c>
      <c r="D151" s="38" t="s">
        <v>42</v>
      </c>
      <c r="E151" s="38"/>
      <c r="F151" s="38">
        <v>0</v>
      </c>
      <c r="G151" s="38">
        <v>1</v>
      </c>
      <c r="H151" s="38"/>
      <c r="I151" s="38">
        <f t="shared" si="16"/>
        <v>45</v>
      </c>
      <c r="J151" s="38"/>
      <c r="K151" s="42">
        <f t="shared" si="17"/>
        <v>0</v>
      </c>
      <c r="L151" s="38">
        <v>0</v>
      </c>
      <c r="M151" s="41" t="str">
        <f t="shared" si="18"/>
        <v>NO</v>
      </c>
      <c r="N151" s="40">
        <f t="shared" ca="1" si="20"/>
        <v>46178</v>
      </c>
    </row>
    <row r="152" spans="1:14" ht="15" customHeight="1">
      <c r="A152" s="64">
        <v>6150</v>
      </c>
      <c r="B152" s="39" t="s">
        <v>41</v>
      </c>
      <c r="C152" s="38"/>
      <c r="D152" s="38"/>
      <c r="E152" s="38"/>
      <c r="F152" s="38">
        <v>0</v>
      </c>
      <c r="G152" s="38">
        <v>0</v>
      </c>
      <c r="H152" s="38"/>
      <c r="I152" s="38">
        <f t="shared" ref="I152:I188" si="21">C152+F152-G152</f>
        <v>0</v>
      </c>
      <c r="J152" s="38"/>
      <c r="K152" s="42">
        <f t="shared" ref="K152:K188" si="22">I152*J152</f>
        <v>0</v>
      </c>
      <c r="L152" s="38">
        <v>0</v>
      </c>
      <c r="M152" s="41" t="str">
        <f t="shared" ref="M152:M188" si="23">IF(I152&lt;=L152,"YES","NO")</f>
        <v>YES</v>
      </c>
      <c r="N152" s="38"/>
    </row>
    <row r="153" spans="1:14" ht="15" customHeight="1">
      <c r="A153" s="65">
        <v>6151</v>
      </c>
      <c r="B153" s="45" t="s">
        <v>225</v>
      </c>
      <c r="C153" s="37">
        <v>4</v>
      </c>
      <c r="D153" s="37" t="s">
        <v>224</v>
      </c>
      <c r="F153" s="38">
        <v>0</v>
      </c>
      <c r="G153" s="38">
        <v>0</v>
      </c>
      <c r="I153" s="38">
        <f t="shared" si="21"/>
        <v>4</v>
      </c>
      <c r="K153" s="42">
        <f t="shared" si="22"/>
        <v>0</v>
      </c>
      <c r="L153" s="38">
        <v>0</v>
      </c>
      <c r="M153" s="41" t="str">
        <f t="shared" si="23"/>
        <v>NO</v>
      </c>
    </row>
    <row r="154" spans="1:14" ht="15" customHeight="1">
      <c r="A154" s="65">
        <v>6152</v>
      </c>
      <c r="B154" s="45" t="s">
        <v>226</v>
      </c>
      <c r="C154" s="37">
        <v>65</v>
      </c>
      <c r="D154" s="37" t="s">
        <v>224</v>
      </c>
      <c r="F154" s="38">
        <v>0</v>
      </c>
      <c r="G154" s="38">
        <v>0</v>
      </c>
      <c r="I154" s="38">
        <f t="shared" si="21"/>
        <v>65</v>
      </c>
      <c r="K154" s="42">
        <f t="shared" si="22"/>
        <v>0</v>
      </c>
      <c r="L154" s="38">
        <v>0</v>
      </c>
      <c r="M154" s="41" t="str">
        <f t="shared" si="23"/>
        <v>NO</v>
      </c>
    </row>
    <row r="155" spans="1:14" ht="15" customHeight="1">
      <c r="A155" s="65">
        <v>6153</v>
      </c>
      <c r="B155" s="45" t="s">
        <v>227</v>
      </c>
      <c r="F155" s="38">
        <v>0</v>
      </c>
      <c r="G155" s="38">
        <v>0</v>
      </c>
      <c r="I155" s="38">
        <f t="shared" si="21"/>
        <v>0</v>
      </c>
      <c r="K155" s="42">
        <f t="shared" si="22"/>
        <v>0</v>
      </c>
      <c r="L155" s="38">
        <v>0</v>
      </c>
      <c r="M155" s="41" t="str">
        <f t="shared" si="23"/>
        <v>YES</v>
      </c>
    </row>
    <row r="156" spans="1:14" ht="15" customHeight="1">
      <c r="A156" s="65">
        <v>6154</v>
      </c>
      <c r="B156" s="45" t="s">
        <v>228</v>
      </c>
      <c r="C156" s="37">
        <v>156</v>
      </c>
      <c r="D156" s="37" t="s">
        <v>224</v>
      </c>
      <c r="F156" s="38">
        <v>0</v>
      </c>
      <c r="G156" s="38">
        <v>0</v>
      </c>
      <c r="I156" s="38">
        <f t="shared" si="21"/>
        <v>156</v>
      </c>
      <c r="K156" s="42">
        <f t="shared" si="22"/>
        <v>0</v>
      </c>
      <c r="L156" s="38">
        <v>0</v>
      </c>
      <c r="M156" s="41" t="str">
        <f t="shared" si="23"/>
        <v>NO</v>
      </c>
    </row>
    <row r="157" spans="1:14" ht="15" customHeight="1">
      <c r="A157" s="65">
        <v>6155</v>
      </c>
      <c r="B157" s="45" t="s">
        <v>229</v>
      </c>
      <c r="C157" s="37">
        <v>63</v>
      </c>
      <c r="D157" s="37" t="s">
        <v>230</v>
      </c>
      <c r="F157" s="38">
        <v>0</v>
      </c>
      <c r="G157" s="38">
        <v>13</v>
      </c>
      <c r="I157" s="38">
        <f t="shared" si="21"/>
        <v>50</v>
      </c>
      <c r="K157" s="42">
        <f t="shared" si="22"/>
        <v>0</v>
      </c>
      <c r="L157" s="38">
        <v>0</v>
      </c>
      <c r="M157" s="41" t="str">
        <f t="shared" si="23"/>
        <v>NO</v>
      </c>
    </row>
    <row r="158" spans="1:14" ht="15" customHeight="1">
      <c r="A158" s="65">
        <v>6156</v>
      </c>
      <c r="B158" s="45" t="s">
        <v>232</v>
      </c>
      <c r="C158" s="37">
        <v>100</v>
      </c>
      <c r="D158" s="37" t="s">
        <v>233</v>
      </c>
      <c r="F158" s="38">
        <v>0</v>
      </c>
      <c r="G158" s="37">
        <v>2</v>
      </c>
      <c r="I158" s="38">
        <f t="shared" si="21"/>
        <v>98</v>
      </c>
      <c r="K158" s="42">
        <f t="shared" si="22"/>
        <v>0</v>
      </c>
      <c r="L158" s="38">
        <v>0</v>
      </c>
      <c r="M158" s="41" t="str">
        <f t="shared" si="23"/>
        <v>NO</v>
      </c>
    </row>
    <row r="159" spans="1:14" ht="15" customHeight="1">
      <c r="A159" s="65">
        <v>6157</v>
      </c>
      <c r="B159" s="45" t="s">
        <v>234</v>
      </c>
      <c r="F159" s="38">
        <v>0</v>
      </c>
      <c r="G159" s="37">
        <v>0</v>
      </c>
      <c r="I159" s="38">
        <f t="shared" si="21"/>
        <v>0</v>
      </c>
      <c r="K159" s="42">
        <f t="shared" si="22"/>
        <v>0</v>
      </c>
      <c r="L159" s="38">
        <v>0</v>
      </c>
      <c r="M159" s="41" t="str">
        <f t="shared" si="23"/>
        <v>YES</v>
      </c>
    </row>
    <row r="160" spans="1:14" ht="15" customHeight="1">
      <c r="A160" s="65">
        <v>6158</v>
      </c>
      <c r="B160" s="45" t="s">
        <v>235</v>
      </c>
      <c r="F160" s="38">
        <v>0</v>
      </c>
      <c r="G160" s="37">
        <v>0</v>
      </c>
      <c r="I160" s="38">
        <f t="shared" si="21"/>
        <v>0</v>
      </c>
      <c r="K160" s="42">
        <f t="shared" si="22"/>
        <v>0</v>
      </c>
      <c r="L160" s="38">
        <v>0</v>
      </c>
      <c r="M160" s="41" t="str">
        <f t="shared" si="23"/>
        <v>YES</v>
      </c>
    </row>
    <row r="161" spans="1:16" ht="15" customHeight="1">
      <c r="A161" s="65">
        <v>6159</v>
      </c>
      <c r="B161" s="45" t="s">
        <v>236</v>
      </c>
      <c r="F161" s="38">
        <v>0</v>
      </c>
      <c r="G161" s="37">
        <v>0</v>
      </c>
      <c r="I161" s="38">
        <f t="shared" si="21"/>
        <v>0</v>
      </c>
      <c r="K161" s="42">
        <f t="shared" si="22"/>
        <v>0</v>
      </c>
      <c r="L161" s="38">
        <v>0</v>
      </c>
      <c r="M161" s="41" t="str">
        <f t="shared" si="23"/>
        <v>YES</v>
      </c>
    </row>
    <row r="162" spans="1:16" ht="15" customHeight="1">
      <c r="A162" s="65">
        <v>6160</v>
      </c>
      <c r="B162" s="45" t="s">
        <v>238</v>
      </c>
      <c r="C162" s="37">
        <v>2</v>
      </c>
      <c r="F162" s="38">
        <v>0</v>
      </c>
      <c r="G162" s="37">
        <v>0</v>
      </c>
      <c r="I162" s="38">
        <f t="shared" si="21"/>
        <v>2</v>
      </c>
      <c r="K162" s="42">
        <f t="shared" si="22"/>
        <v>0</v>
      </c>
      <c r="L162" s="38">
        <v>0</v>
      </c>
      <c r="M162" s="41" t="str">
        <f t="shared" si="23"/>
        <v>NO</v>
      </c>
      <c r="O162" s="37" t="s">
        <v>242</v>
      </c>
    </row>
    <row r="163" spans="1:16" ht="15" customHeight="1">
      <c r="A163" s="65">
        <v>6161</v>
      </c>
      <c r="B163" s="45" t="s">
        <v>239</v>
      </c>
      <c r="C163" s="37">
        <v>2</v>
      </c>
      <c r="F163" s="38">
        <v>0</v>
      </c>
      <c r="G163" s="37">
        <v>0</v>
      </c>
      <c r="I163" s="38">
        <f>C163+F163-G163</f>
        <v>2</v>
      </c>
      <c r="K163" s="42">
        <f t="shared" si="22"/>
        <v>0</v>
      </c>
      <c r="L163" s="38">
        <v>0</v>
      </c>
      <c r="M163" s="41" t="str">
        <f t="shared" si="23"/>
        <v>NO</v>
      </c>
      <c r="O163" s="37" t="s">
        <v>243</v>
      </c>
    </row>
    <row r="164" spans="1:16" ht="15" customHeight="1">
      <c r="A164" s="65">
        <v>6162</v>
      </c>
      <c r="B164" s="45" t="s">
        <v>293</v>
      </c>
      <c r="C164" s="37">
        <v>3</v>
      </c>
      <c r="F164" s="38">
        <v>0</v>
      </c>
      <c r="G164" s="37">
        <v>3</v>
      </c>
      <c r="I164" s="38">
        <f t="shared" si="21"/>
        <v>0</v>
      </c>
      <c r="K164" s="42">
        <f t="shared" si="22"/>
        <v>0</v>
      </c>
      <c r="L164" s="38">
        <v>0</v>
      </c>
      <c r="M164" s="41" t="str">
        <f t="shared" si="23"/>
        <v>YES</v>
      </c>
      <c r="O164" s="63" t="s">
        <v>297</v>
      </c>
      <c r="P164" s="68">
        <v>46177</v>
      </c>
    </row>
    <row r="165" spans="1:16" ht="15" customHeight="1">
      <c r="A165" s="67">
        <v>6163</v>
      </c>
      <c r="B165" s="45" t="s">
        <v>294</v>
      </c>
      <c r="C165" s="37">
        <v>5</v>
      </c>
      <c r="F165" s="38">
        <v>0</v>
      </c>
      <c r="G165" s="37">
        <v>5</v>
      </c>
      <c r="I165" s="38">
        <f t="shared" si="21"/>
        <v>0</v>
      </c>
      <c r="K165" s="42">
        <f t="shared" si="22"/>
        <v>0</v>
      </c>
      <c r="L165" s="38">
        <v>0</v>
      </c>
      <c r="M165" s="41" t="str">
        <f t="shared" si="23"/>
        <v>YES</v>
      </c>
      <c r="O165" s="63" t="s">
        <v>297</v>
      </c>
      <c r="P165" s="68">
        <v>46177</v>
      </c>
    </row>
    <row r="166" spans="1:16" ht="15" customHeight="1">
      <c r="A166" s="67">
        <v>6164</v>
      </c>
      <c r="B166" s="45" t="s">
        <v>300</v>
      </c>
      <c r="C166" s="37">
        <v>3</v>
      </c>
      <c r="F166" s="38">
        <v>0</v>
      </c>
      <c r="G166" s="37">
        <v>0</v>
      </c>
      <c r="H166" s="37" t="s">
        <v>302</v>
      </c>
      <c r="I166" s="38">
        <f t="shared" si="21"/>
        <v>3</v>
      </c>
      <c r="K166" s="42">
        <f t="shared" si="22"/>
        <v>0</v>
      </c>
      <c r="L166" s="38">
        <v>0</v>
      </c>
      <c r="M166" s="41" t="str">
        <f t="shared" si="23"/>
        <v>NO</v>
      </c>
      <c r="O166" s="63" t="s">
        <v>301</v>
      </c>
    </row>
    <row r="167" spans="1:16" ht="15" customHeight="1">
      <c r="A167" s="67">
        <v>6165</v>
      </c>
      <c r="B167" s="45" t="s">
        <v>307</v>
      </c>
      <c r="C167" s="37">
        <v>2</v>
      </c>
      <c r="D167" s="37" t="s">
        <v>73</v>
      </c>
      <c r="F167" s="38">
        <v>0</v>
      </c>
      <c r="G167" s="37">
        <v>0</v>
      </c>
      <c r="I167" s="38">
        <f t="shared" si="21"/>
        <v>2</v>
      </c>
      <c r="K167" s="42">
        <f t="shared" si="22"/>
        <v>0</v>
      </c>
      <c r="L167" s="38">
        <v>0</v>
      </c>
      <c r="M167" s="41" t="str">
        <f t="shared" si="23"/>
        <v>NO</v>
      </c>
      <c r="O167" s="63"/>
    </row>
    <row r="168" spans="1:16" ht="15" customHeight="1">
      <c r="B168" s="45"/>
      <c r="F168" s="38">
        <v>0</v>
      </c>
      <c r="G168" s="37">
        <v>0</v>
      </c>
      <c r="I168" s="38">
        <f t="shared" si="21"/>
        <v>0</v>
      </c>
      <c r="K168" s="42">
        <f t="shared" si="22"/>
        <v>0</v>
      </c>
      <c r="L168" s="38">
        <v>0</v>
      </c>
      <c r="M168" s="41" t="str">
        <f t="shared" si="23"/>
        <v>YES</v>
      </c>
      <c r="O168" s="63"/>
    </row>
    <row r="169" spans="1:16" ht="15" customHeight="1">
      <c r="B169" s="45"/>
      <c r="F169" s="38">
        <v>0</v>
      </c>
      <c r="G169" s="37">
        <v>0</v>
      </c>
      <c r="I169" s="38">
        <f t="shared" si="21"/>
        <v>0</v>
      </c>
      <c r="K169" s="42">
        <f t="shared" si="22"/>
        <v>0</v>
      </c>
      <c r="L169" s="38">
        <v>0</v>
      </c>
      <c r="M169" s="41" t="str">
        <f t="shared" si="23"/>
        <v>YES</v>
      </c>
      <c r="O169" s="63"/>
    </row>
    <row r="170" spans="1:16" ht="15" customHeight="1">
      <c r="B170" s="45"/>
      <c r="F170" s="38">
        <v>0</v>
      </c>
      <c r="G170" s="37">
        <v>0</v>
      </c>
      <c r="I170" s="38">
        <f>C170+F170-G170</f>
        <v>0</v>
      </c>
      <c r="K170" s="42">
        <f t="shared" si="22"/>
        <v>0</v>
      </c>
      <c r="L170" s="38">
        <v>0</v>
      </c>
      <c r="M170" s="41" t="str">
        <f t="shared" si="23"/>
        <v>YES</v>
      </c>
      <c r="O170" s="63"/>
    </row>
    <row r="171" spans="1:16" ht="15" customHeight="1">
      <c r="B171" s="45"/>
      <c r="F171" s="38">
        <v>0</v>
      </c>
      <c r="G171" s="37">
        <v>0</v>
      </c>
      <c r="I171" s="38">
        <f t="shared" si="21"/>
        <v>0</v>
      </c>
      <c r="K171" s="42">
        <f t="shared" si="22"/>
        <v>0</v>
      </c>
      <c r="L171" s="38">
        <v>0</v>
      </c>
      <c r="M171" s="41" t="str">
        <f t="shared" si="23"/>
        <v>YES</v>
      </c>
      <c r="O171" s="63"/>
    </row>
    <row r="172" spans="1:16" ht="15" customHeight="1">
      <c r="B172" s="45"/>
      <c r="F172" s="38">
        <v>0</v>
      </c>
      <c r="G172" s="37">
        <v>0</v>
      </c>
      <c r="I172" s="38">
        <f t="shared" si="21"/>
        <v>0</v>
      </c>
      <c r="K172" s="42">
        <f t="shared" si="22"/>
        <v>0</v>
      </c>
      <c r="L172" s="38">
        <v>0</v>
      </c>
      <c r="M172" s="41" t="str">
        <f t="shared" si="23"/>
        <v>YES</v>
      </c>
      <c r="O172" s="63"/>
    </row>
    <row r="173" spans="1:16" ht="15" customHeight="1">
      <c r="B173" s="45"/>
      <c r="F173" s="38">
        <v>0</v>
      </c>
      <c r="G173" s="37">
        <v>0</v>
      </c>
      <c r="I173" s="38">
        <f t="shared" si="21"/>
        <v>0</v>
      </c>
      <c r="K173" s="42">
        <f t="shared" si="22"/>
        <v>0</v>
      </c>
      <c r="L173" s="38">
        <v>0</v>
      </c>
      <c r="M173" s="41" t="str">
        <f t="shared" si="23"/>
        <v>YES</v>
      </c>
      <c r="O173" s="63"/>
      <c r="P173" s="63"/>
    </row>
    <row r="174" spans="1:16" ht="15" customHeight="1">
      <c r="B174" s="45"/>
      <c r="F174" s="38">
        <v>0</v>
      </c>
      <c r="G174" s="37">
        <v>0</v>
      </c>
      <c r="I174" s="38">
        <f t="shared" si="21"/>
        <v>0</v>
      </c>
      <c r="K174" s="42">
        <f t="shared" si="22"/>
        <v>0</v>
      </c>
      <c r="L174" s="38">
        <v>0</v>
      </c>
      <c r="M174" s="41" t="str">
        <f t="shared" si="23"/>
        <v>YES</v>
      </c>
      <c r="O174" s="63"/>
      <c r="P174" s="63"/>
    </row>
    <row r="175" spans="1:16" ht="15" customHeight="1">
      <c r="B175" s="45"/>
      <c r="F175" s="38">
        <v>0</v>
      </c>
      <c r="G175" s="37">
        <v>0</v>
      </c>
      <c r="I175" s="38">
        <f t="shared" si="21"/>
        <v>0</v>
      </c>
      <c r="K175" s="42">
        <f t="shared" si="22"/>
        <v>0</v>
      </c>
      <c r="L175" s="38">
        <v>0</v>
      </c>
      <c r="M175" s="41" t="str">
        <f t="shared" si="23"/>
        <v>YES</v>
      </c>
      <c r="O175" s="63"/>
      <c r="P175" s="63"/>
    </row>
    <row r="176" spans="1:16" ht="15" customHeight="1">
      <c r="B176" s="45"/>
      <c r="F176" s="38">
        <v>0</v>
      </c>
      <c r="G176" s="37">
        <v>0</v>
      </c>
      <c r="I176" s="38">
        <f t="shared" si="21"/>
        <v>0</v>
      </c>
      <c r="K176" s="42">
        <f t="shared" si="22"/>
        <v>0</v>
      </c>
      <c r="L176" s="38">
        <v>0</v>
      </c>
      <c r="M176" s="41" t="str">
        <f t="shared" si="23"/>
        <v>YES</v>
      </c>
      <c r="O176" s="63"/>
      <c r="P176" s="63"/>
    </row>
    <row r="177" spans="2:16" ht="15" customHeight="1">
      <c r="B177" s="45"/>
      <c r="F177" s="38">
        <v>0</v>
      </c>
      <c r="G177" s="37">
        <v>0</v>
      </c>
      <c r="I177" s="38">
        <f t="shared" si="21"/>
        <v>0</v>
      </c>
      <c r="K177" s="42">
        <f t="shared" si="22"/>
        <v>0</v>
      </c>
      <c r="L177" s="38">
        <v>0</v>
      </c>
      <c r="M177" s="41" t="str">
        <f t="shared" si="23"/>
        <v>YES</v>
      </c>
      <c r="O177" s="63"/>
      <c r="P177" s="63"/>
    </row>
    <row r="178" spans="2:16" ht="15" customHeight="1">
      <c r="B178" s="45"/>
      <c r="F178" s="38">
        <v>0</v>
      </c>
      <c r="G178" s="37">
        <v>0</v>
      </c>
      <c r="I178" s="38">
        <f t="shared" si="21"/>
        <v>0</v>
      </c>
      <c r="K178" s="42">
        <f t="shared" si="22"/>
        <v>0</v>
      </c>
      <c r="L178" s="38">
        <v>0</v>
      </c>
      <c r="M178" s="41" t="str">
        <f t="shared" si="23"/>
        <v>YES</v>
      </c>
      <c r="O178" s="63"/>
      <c r="P178" s="63"/>
    </row>
    <row r="179" spans="2:16" ht="15" customHeight="1">
      <c r="B179" s="45"/>
      <c r="F179" s="38">
        <v>0</v>
      </c>
      <c r="G179" s="37">
        <v>0</v>
      </c>
      <c r="I179" s="38">
        <f t="shared" si="21"/>
        <v>0</v>
      </c>
      <c r="K179" s="42">
        <f t="shared" si="22"/>
        <v>0</v>
      </c>
      <c r="L179" s="38">
        <v>0</v>
      </c>
      <c r="M179" s="41" t="str">
        <f t="shared" si="23"/>
        <v>YES</v>
      </c>
      <c r="O179" s="63"/>
      <c r="P179" s="63"/>
    </row>
    <row r="180" spans="2:16" ht="15" customHeight="1">
      <c r="B180" s="45"/>
      <c r="F180" s="38">
        <v>0</v>
      </c>
      <c r="G180" s="37">
        <v>0</v>
      </c>
      <c r="I180" s="38">
        <f t="shared" si="21"/>
        <v>0</v>
      </c>
      <c r="K180" s="42">
        <f t="shared" si="22"/>
        <v>0</v>
      </c>
      <c r="L180" s="38">
        <v>0</v>
      </c>
      <c r="M180" s="41" t="str">
        <f t="shared" si="23"/>
        <v>YES</v>
      </c>
      <c r="O180" s="63"/>
      <c r="P180" s="63"/>
    </row>
    <row r="181" spans="2:16" ht="15" customHeight="1">
      <c r="B181" s="45"/>
      <c r="F181" s="38">
        <v>0</v>
      </c>
      <c r="G181" s="37">
        <v>0</v>
      </c>
      <c r="I181" s="38">
        <f t="shared" si="21"/>
        <v>0</v>
      </c>
      <c r="K181" s="42">
        <f t="shared" si="22"/>
        <v>0</v>
      </c>
      <c r="L181" s="38">
        <v>0</v>
      </c>
      <c r="M181" s="41" t="str">
        <f t="shared" si="23"/>
        <v>YES</v>
      </c>
      <c r="O181" s="63"/>
      <c r="P181" s="63"/>
    </row>
    <row r="182" spans="2:16" ht="15" customHeight="1">
      <c r="B182" s="45"/>
      <c r="F182" s="38">
        <v>0</v>
      </c>
      <c r="G182" s="37">
        <v>0</v>
      </c>
      <c r="I182" s="38">
        <f t="shared" si="21"/>
        <v>0</v>
      </c>
      <c r="K182" s="42">
        <f t="shared" si="22"/>
        <v>0</v>
      </c>
      <c r="L182" s="38">
        <v>0</v>
      </c>
      <c r="M182" s="41" t="str">
        <f t="shared" si="23"/>
        <v>YES</v>
      </c>
      <c r="O182" s="63"/>
      <c r="P182" s="63"/>
    </row>
    <row r="183" spans="2:16" ht="15" customHeight="1">
      <c r="B183" s="45"/>
      <c r="F183" s="38">
        <v>0</v>
      </c>
      <c r="G183" s="37">
        <v>0</v>
      </c>
      <c r="I183" s="38">
        <f t="shared" si="21"/>
        <v>0</v>
      </c>
      <c r="K183" s="42">
        <f t="shared" si="22"/>
        <v>0</v>
      </c>
      <c r="L183" s="38">
        <v>0</v>
      </c>
      <c r="M183" s="41" t="str">
        <f t="shared" si="23"/>
        <v>YES</v>
      </c>
      <c r="O183" s="63"/>
      <c r="P183" s="63"/>
    </row>
    <row r="184" spans="2:16" ht="15" customHeight="1">
      <c r="B184" s="45"/>
      <c r="F184" s="38">
        <v>0</v>
      </c>
      <c r="G184" s="37">
        <v>0</v>
      </c>
      <c r="I184" s="38">
        <f t="shared" si="21"/>
        <v>0</v>
      </c>
      <c r="K184" s="42">
        <f t="shared" si="22"/>
        <v>0</v>
      </c>
      <c r="L184" s="38">
        <v>0</v>
      </c>
      <c r="M184" s="41" t="str">
        <f t="shared" si="23"/>
        <v>YES</v>
      </c>
      <c r="O184" s="63"/>
      <c r="P184" s="63"/>
    </row>
    <row r="185" spans="2:16" ht="15" customHeight="1">
      <c r="B185" s="45"/>
      <c r="F185" s="38">
        <v>0</v>
      </c>
      <c r="G185" s="37">
        <v>0</v>
      </c>
      <c r="I185" s="38">
        <f t="shared" si="21"/>
        <v>0</v>
      </c>
      <c r="K185" s="42">
        <f t="shared" si="22"/>
        <v>0</v>
      </c>
      <c r="L185" s="38">
        <v>0</v>
      </c>
      <c r="M185" s="41" t="str">
        <f t="shared" si="23"/>
        <v>YES</v>
      </c>
      <c r="O185" s="63"/>
      <c r="P185" s="63"/>
    </row>
    <row r="186" spans="2:16" ht="15" customHeight="1">
      <c r="B186" s="45"/>
      <c r="F186" s="38">
        <v>0</v>
      </c>
      <c r="G186" s="37">
        <v>0</v>
      </c>
      <c r="I186" s="38">
        <f t="shared" si="21"/>
        <v>0</v>
      </c>
      <c r="K186" s="42">
        <f t="shared" si="22"/>
        <v>0</v>
      </c>
      <c r="L186" s="38">
        <v>0</v>
      </c>
      <c r="M186" s="41" t="str">
        <f t="shared" si="23"/>
        <v>YES</v>
      </c>
      <c r="O186" s="63"/>
      <c r="P186" s="63"/>
    </row>
    <row r="187" spans="2:16" ht="15" customHeight="1">
      <c r="B187" s="45"/>
      <c r="F187" s="38">
        <v>0</v>
      </c>
      <c r="G187" s="37">
        <v>0</v>
      </c>
      <c r="I187" s="38">
        <f t="shared" si="21"/>
        <v>0</v>
      </c>
      <c r="K187" s="42">
        <f t="shared" si="22"/>
        <v>0</v>
      </c>
      <c r="L187" s="38">
        <v>0</v>
      </c>
      <c r="M187" s="41" t="str">
        <f t="shared" si="23"/>
        <v>YES</v>
      </c>
      <c r="O187" s="63"/>
      <c r="P187" s="63"/>
    </row>
    <row r="188" spans="2:16" ht="15" customHeight="1">
      <c r="B188" s="45"/>
      <c r="F188" s="38">
        <v>0</v>
      </c>
      <c r="G188" s="37">
        <v>0</v>
      </c>
      <c r="I188" s="38">
        <f t="shared" si="21"/>
        <v>0</v>
      </c>
      <c r="K188" s="42">
        <f t="shared" si="22"/>
        <v>0</v>
      </c>
      <c r="M188" s="41" t="str">
        <f t="shared" si="23"/>
        <v>YES</v>
      </c>
      <c r="O188" s="63"/>
      <c r="P188" s="63"/>
    </row>
  </sheetData>
  <sheetProtection sort="0" autoFilter="0"/>
  <conditionalFormatting sqref="I2:I125">
    <cfRule type="expression" dxfId="2" priority="2">
      <formula>I2&lt;=L2</formula>
    </cfRule>
  </conditionalFormatting>
  <conditionalFormatting sqref="M2:M125">
    <cfRule type="containsText" dxfId="1" priority="1" operator="containsText" text="YES">
      <formula>NOT(ISERROR(SEARCH("YES",M2)))</formula>
    </cfRule>
  </conditionalFormatting>
  <pageMargins left="0.7" right="0.7" top="0.75" bottom="0.75" header="0.3" footer="0.3"/>
  <pageSetup orientation="portrait" r:id="rId1"/>
  <headerFooter>
    <oddHeader>&amp;L&amp;C&amp;R</oddHeader>
    <oddFooter>&amp;L&amp;C&amp;R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3" topLeftCell="A6" activePane="bottomLeft" state="frozen"/>
      <selection pane="bottomLeft" activeCell="B38" sqref="B38"/>
    </sheetView>
  </sheetViews>
  <sheetFormatPr defaultRowHeight="15"/>
  <cols>
    <col min="1" max="1" width="8" style="72" customWidth="1"/>
    <col min="2" max="2" width="40" style="72" customWidth="1"/>
    <col min="3" max="3" width="12" style="72" customWidth="1"/>
    <col min="4" max="4" width="22" style="72" customWidth="1"/>
    <col min="5" max="5" width="65.5703125" style="72" customWidth="1"/>
    <col min="6" max="16384" width="9.140625" style="72"/>
  </cols>
  <sheetData>
    <row r="1" spans="1:5" ht="21">
      <c r="A1" s="94" t="s">
        <v>359</v>
      </c>
      <c r="B1" s="95"/>
      <c r="C1" s="95"/>
      <c r="D1" s="95"/>
    </row>
    <row r="3" spans="1:5">
      <c r="A3" s="93" t="s">
        <v>7</v>
      </c>
      <c r="B3" s="93" t="s">
        <v>358</v>
      </c>
      <c r="C3" s="93" t="s">
        <v>9</v>
      </c>
      <c r="D3" s="93" t="s">
        <v>219</v>
      </c>
      <c r="E3" s="92" t="s">
        <v>357</v>
      </c>
    </row>
    <row r="4" spans="1:5">
      <c r="A4" s="90">
        <v>1</v>
      </c>
      <c r="B4" s="75" t="s">
        <v>356</v>
      </c>
      <c r="C4" s="90" t="s">
        <v>316</v>
      </c>
      <c r="D4" s="75" t="s">
        <v>355</v>
      </c>
      <c r="E4" s="75"/>
    </row>
    <row r="5" spans="1:5">
      <c r="A5" s="90">
        <v>2</v>
      </c>
      <c r="B5" s="75" t="s">
        <v>354</v>
      </c>
      <c r="C5" s="90" t="s">
        <v>316</v>
      </c>
      <c r="D5" s="75" t="s">
        <v>353</v>
      </c>
      <c r="E5" s="78"/>
    </row>
    <row r="6" spans="1:5">
      <c r="A6" s="90">
        <v>3</v>
      </c>
      <c r="B6" s="75" t="s">
        <v>309</v>
      </c>
      <c r="C6" s="90" t="s">
        <v>316</v>
      </c>
      <c r="D6" s="75" t="s">
        <v>312</v>
      </c>
      <c r="E6" s="78"/>
    </row>
    <row r="7" spans="1:5">
      <c r="A7" s="90">
        <v>4</v>
      </c>
      <c r="B7" s="75" t="s">
        <v>352</v>
      </c>
      <c r="C7" s="90" t="s">
        <v>351</v>
      </c>
      <c r="D7" s="75" t="s">
        <v>312</v>
      </c>
    </row>
    <row r="8" spans="1:5">
      <c r="A8" s="90">
        <v>5</v>
      </c>
      <c r="B8" s="75" t="s">
        <v>350</v>
      </c>
      <c r="C8" s="90" t="s">
        <v>349</v>
      </c>
      <c r="D8" s="75" t="s">
        <v>348</v>
      </c>
      <c r="E8" s="91"/>
    </row>
    <row r="9" spans="1:5">
      <c r="A9" s="90">
        <v>6</v>
      </c>
      <c r="B9" s="75" t="s">
        <v>347</v>
      </c>
      <c r="C9" s="90" t="s">
        <v>316</v>
      </c>
      <c r="D9" s="75" t="s">
        <v>346</v>
      </c>
      <c r="E9" s="91"/>
    </row>
    <row r="10" spans="1:5">
      <c r="A10" s="90">
        <v>7</v>
      </c>
      <c r="B10" s="75" t="s">
        <v>345</v>
      </c>
      <c r="C10" s="90" t="s">
        <v>344</v>
      </c>
      <c r="D10" s="75" t="s">
        <v>312</v>
      </c>
      <c r="E10" s="91" t="s">
        <v>343</v>
      </c>
    </row>
    <row r="11" spans="1:5">
      <c r="A11" s="90">
        <v>8</v>
      </c>
      <c r="B11" s="75" t="s">
        <v>342</v>
      </c>
      <c r="C11" s="90">
        <v>3</v>
      </c>
      <c r="D11" s="75" t="s">
        <v>312</v>
      </c>
      <c r="E11" s="91"/>
    </row>
    <row r="12" spans="1:5">
      <c r="A12" s="90">
        <v>9</v>
      </c>
      <c r="B12" s="75" t="s">
        <v>341</v>
      </c>
      <c r="C12" s="90" t="s">
        <v>321</v>
      </c>
      <c r="D12" s="75" t="s">
        <v>312</v>
      </c>
      <c r="E12" s="91"/>
    </row>
    <row r="13" spans="1:5">
      <c r="A13" s="90">
        <v>10</v>
      </c>
      <c r="B13" s="75" t="s">
        <v>340</v>
      </c>
      <c r="C13" s="90" t="s">
        <v>321</v>
      </c>
      <c r="D13" s="75" t="s">
        <v>338</v>
      </c>
      <c r="E13" s="91"/>
    </row>
    <row r="14" spans="1:5">
      <c r="A14" s="90">
        <v>11</v>
      </c>
      <c r="B14" s="75" t="s">
        <v>339</v>
      </c>
      <c r="C14" s="90" t="s">
        <v>316</v>
      </c>
      <c r="D14" s="75" t="s">
        <v>338</v>
      </c>
      <c r="E14" s="81"/>
    </row>
    <row r="15" spans="1:5">
      <c r="A15" s="90">
        <v>12</v>
      </c>
      <c r="B15" s="75" t="s">
        <v>309</v>
      </c>
      <c r="C15" s="90" t="s">
        <v>332</v>
      </c>
      <c r="D15" s="75" t="s">
        <v>337</v>
      </c>
      <c r="E15" s="75"/>
    </row>
    <row r="16" spans="1:5">
      <c r="A16" s="90">
        <v>13</v>
      </c>
      <c r="B16" s="75" t="s">
        <v>336</v>
      </c>
      <c r="C16" s="90" t="s">
        <v>316</v>
      </c>
      <c r="D16" s="75"/>
      <c r="E16" s="80"/>
    </row>
    <row r="17" spans="1:5">
      <c r="A17" s="90">
        <v>14</v>
      </c>
      <c r="B17" s="75" t="s">
        <v>335</v>
      </c>
      <c r="C17" s="90" t="s">
        <v>316</v>
      </c>
      <c r="D17" s="75" t="s">
        <v>312</v>
      </c>
    </row>
    <row r="18" spans="1:5">
      <c r="A18" s="90">
        <v>15</v>
      </c>
      <c r="B18" s="75" t="s">
        <v>334</v>
      </c>
      <c r="C18" s="90" t="s">
        <v>316</v>
      </c>
      <c r="D18" s="75" t="s">
        <v>312</v>
      </c>
      <c r="E18" s="78"/>
    </row>
    <row r="19" spans="1:5">
      <c r="A19" s="90">
        <v>16</v>
      </c>
      <c r="B19" s="75" t="s">
        <v>333</v>
      </c>
      <c r="C19" s="90" t="s">
        <v>332</v>
      </c>
      <c r="D19" s="75" t="s">
        <v>331</v>
      </c>
    </row>
    <row r="20" spans="1:5">
      <c r="A20" s="90">
        <v>17</v>
      </c>
      <c r="B20" s="75" t="s">
        <v>330</v>
      </c>
      <c r="C20" s="90" t="s">
        <v>316</v>
      </c>
      <c r="D20" s="75" t="s">
        <v>329</v>
      </c>
      <c r="E20" s="91"/>
    </row>
    <row r="21" spans="1:5">
      <c r="A21" s="90">
        <v>18</v>
      </c>
      <c r="B21" s="75" t="s">
        <v>328</v>
      </c>
      <c r="C21" s="90" t="s">
        <v>327</v>
      </c>
      <c r="D21" s="75" t="s">
        <v>312</v>
      </c>
      <c r="E21" s="78"/>
    </row>
    <row r="22" spans="1:5">
      <c r="A22" s="90">
        <v>19</v>
      </c>
      <c r="B22" s="75" t="s">
        <v>326</v>
      </c>
      <c r="C22" s="90" t="s">
        <v>316</v>
      </c>
      <c r="D22" s="75" t="s">
        <v>325</v>
      </c>
      <c r="E22" s="78"/>
    </row>
    <row r="23" spans="1:5">
      <c r="A23" s="90">
        <v>20</v>
      </c>
      <c r="B23" s="75" t="s">
        <v>324</v>
      </c>
      <c r="C23" s="90" t="s">
        <v>321</v>
      </c>
      <c r="D23" s="75"/>
      <c r="E23" s="78" t="s">
        <v>323</v>
      </c>
    </row>
    <row r="24" spans="1:5">
      <c r="A24" s="90">
        <v>21</v>
      </c>
      <c r="B24" s="75" t="s">
        <v>322</v>
      </c>
      <c r="C24" s="90" t="s">
        <v>321</v>
      </c>
      <c r="D24" s="75" t="s">
        <v>320</v>
      </c>
    </row>
    <row r="25" spans="1:5">
      <c r="A25" s="90">
        <v>22</v>
      </c>
      <c r="B25" s="75" t="s">
        <v>319</v>
      </c>
      <c r="C25" s="90" t="s">
        <v>316</v>
      </c>
      <c r="D25" s="75" t="s">
        <v>318</v>
      </c>
      <c r="E25" s="78"/>
    </row>
    <row r="26" spans="1:5">
      <c r="A26" s="90">
        <v>23</v>
      </c>
      <c r="B26" s="75" t="s">
        <v>317</v>
      </c>
      <c r="C26" s="90" t="s">
        <v>316</v>
      </c>
      <c r="D26" s="75" t="s">
        <v>315</v>
      </c>
      <c r="E26" s="72" t="s">
        <v>314</v>
      </c>
    </row>
    <row r="27" spans="1:5">
      <c r="A27" s="89">
        <v>24</v>
      </c>
      <c r="B27" s="88" t="s">
        <v>313</v>
      </c>
      <c r="C27" s="83">
        <v>3</v>
      </c>
      <c r="D27" s="75" t="s">
        <v>312</v>
      </c>
      <c r="E27" s="78"/>
    </row>
    <row r="28" spans="1:5">
      <c r="A28" s="85">
        <v>25</v>
      </c>
      <c r="B28" s="87" t="s">
        <v>311</v>
      </c>
      <c r="C28" s="86">
        <v>2</v>
      </c>
      <c r="D28" s="80" t="s">
        <v>310</v>
      </c>
    </row>
    <row r="29" spans="1:5">
      <c r="A29" s="85">
        <v>26</v>
      </c>
      <c r="B29" s="84" t="s">
        <v>309</v>
      </c>
      <c r="C29" s="83">
        <v>1</v>
      </c>
      <c r="D29" s="75" t="s">
        <v>308</v>
      </c>
      <c r="E29" s="78"/>
    </row>
    <row r="30" spans="1:5">
      <c r="A30" s="75"/>
      <c r="B30" s="75"/>
      <c r="C30" s="79"/>
      <c r="D30" s="80"/>
      <c r="E30" s="78"/>
    </row>
    <row r="31" spans="1:5">
      <c r="A31" s="75"/>
      <c r="B31" s="75"/>
      <c r="C31" s="76"/>
      <c r="D31" s="75"/>
    </row>
    <row r="32" spans="1:5">
      <c r="A32" s="82"/>
      <c r="B32" s="81"/>
      <c r="D32" s="75"/>
      <c r="E32" s="78"/>
    </row>
    <row r="33" spans="1:5">
      <c r="A33" s="78"/>
      <c r="B33" s="75"/>
      <c r="C33" s="79"/>
      <c r="D33" s="75"/>
    </row>
    <row r="34" spans="1:5">
      <c r="B34" s="80"/>
      <c r="C34" s="79"/>
      <c r="D34" s="75"/>
      <c r="E34" s="78"/>
    </row>
    <row r="35" spans="1:5">
      <c r="A35" s="75"/>
      <c r="B35" s="75"/>
      <c r="C35" s="79"/>
      <c r="D35" s="75"/>
      <c r="E35" s="78"/>
    </row>
    <row r="36" spans="1:5">
      <c r="A36" s="77"/>
      <c r="B36" s="75"/>
      <c r="C36" s="76"/>
      <c r="D36" s="75"/>
    </row>
    <row r="37" spans="1:5">
      <c r="B37" s="74"/>
      <c r="E37" s="73"/>
    </row>
    <row r="38" spans="1:5">
      <c r="E38" s="73"/>
    </row>
  </sheetData>
  <autoFilter ref="A3:D2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MDF Inventory</vt:lpstr>
      <vt:lpstr>STORE Inventory</vt:lpstr>
      <vt:lpstr>Assets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USER</cp:lastModifiedBy>
  <dcterms:created xsi:type="dcterms:W3CDTF">2026-06-02T10:09:38Z</dcterms:created>
  <dcterms:modified xsi:type="dcterms:W3CDTF">2026-06-05T22:49:05Z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b97c5326-f9d1-45cc-9417-250ea4fc8bd2</vt:lpwstr>
  </property>
</Properties>
</file>